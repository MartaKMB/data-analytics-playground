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martamucha-balcerek/Desktop/data-analyst-road/study/ekonometria-uep/"/>
    </mc:Choice>
  </mc:AlternateContent>
  <xr:revisionPtr revIDLastSave="0" documentId="13_ncr:1_{B703C2D0-91D8-5F4F-B8D7-CE8654269E8E}" xr6:coauthVersionLast="47" xr6:coauthVersionMax="47" xr10:uidLastSave="{00000000-0000-0000-0000-000000000000}"/>
  <bookViews>
    <workbookView xWindow="0" yWindow="600" windowWidth="28800" windowHeight="15600" firstSheet="2" activeTab="9" xr2:uid="{4DAE1D28-D84B-4042-8069-FFC81D34C113}"/>
  </bookViews>
  <sheets>
    <sheet name="modul_1_pokazowy" sheetId="1" r:id="rId1"/>
    <sheet name="modul_2_pokazowy" sheetId="9" r:id="rId2"/>
    <sheet name="modul_3_pokazowy" sheetId="11" r:id="rId3"/>
    <sheet name="modul_4_pokazowy" sheetId="13" r:id="rId4"/>
    <sheet name="modul_5_pokazowy" sheetId="15" r:id="rId5"/>
    <sheet name="modul_1_samodzielne" sheetId="2" r:id="rId6"/>
    <sheet name="modul_2_samodzielne" sheetId="10" r:id="rId7"/>
    <sheet name="modul_3_samodzielne" sheetId="12" r:id="rId8"/>
    <sheet name="modul_4_samodzielne" sheetId="14" r:id="rId9"/>
    <sheet name="modul_5_samodzielne" sheetId="1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 i="16" l="1" a="1"/>
  <c r="F2" i="16" s="1"/>
  <c r="H18" i="15"/>
  <c r="O38" i="15"/>
  <c r="N38" i="15"/>
  <c r="O37" i="15"/>
  <c r="N37" i="15"/>
  <c r="M34" i="15"/>
  <c r="O34" i="15"/>
  <c r="M30" i="15"/>
  <c r="N27" i="15"/>
  <c r="N26" i="15"/>
  <c r="M18" i="15" a="1"/>
  <c r="M18" i="15" s="1"/>
  <c r="B5" i="15" a="1"/>
  <c r="B5" i="15" s="1"/>
  <c r="B176" i="14" a="1"/>
  <c r="B176" i="14" s="1"/>
  <c r="L171" i="14" a="1"/>
  <c r="L171" i="14" s="1"/>
  <c r="G171" i="14" a="1"/>
  <c r="G171" i="14" s="1"/>
  <c r="B171" i="14" a="1"/>
  <c r="B171" i="14" s="1"/>
  <c r="G157" i="14"/>
  <c r="C157" i="14"/>
  <c r="B157" i="14"/>
  <c r="F141" i="14"/>
  <c r="E141" i="14"/>
  <c r="D141" i="14"/>
  <c r="G158" i="14"/>
  <c r="G159" i="14"/>
  <c r="G160" i="14"/>
  <c r="G161" i="14"/>
  <c r="G162" i="14"/>
  <c r="G163" i="14"/>
  <c r="G164" i="14"/>
  <c r="G165" i="14"/>
  <c r="G166" i="14"/>
  <c r="G167" i="14"/>
  <c r="G168" i="14"/>
  <c r="C158" i="14"/>
  <c r="C159" i="14"/>
  <c r="C160" i="14"/>
  <c r="C161" i="14"/>
  <c r="C162" i="14"/>
  <c r="C163" i="14"/>
  <c r="C164" i="14"/>
  <c r="C165" i="14"/>
  <c r="C166" i="14"/>
  <c r="C167" i="14"/>
  <c r="C168" i="14"/>
  <c r="B168" i="14"/>
  <c r="B158" i="14"/>
  <c r="B159" i="14"/>
  <c r="B160" i="14"/>
  <c r="B161" i="14"/>
  <c r="B162" i="14"/>
  <c r="B163" i="14"/>
  <c r="B164" i="14"/>
  <c r="B165" i="14"/>
  <c r="B166" i="14"/>
  <c r="B167" i="14"/>
  <c r="E142" i="14"/>
  <c r="F142" i="14"/>
  <c r="E143" i="14"/>
  <c r="F143" i="14"/>
  <c r="E144" i="14"/>
  <c r="F144" i="14"/>
  <c r="E145" i="14"/>
  <c r="F145" i="14"/>
  <c r="E146" i="14"/>
  <c r="F146" i="14"/>
  <c r="E147" i="14"/>
  <c r="F147" i="14"/>
  <c r="E148" i="14"/>
  <c r="F148" i="14"/>
  <c r="E149" i="14"/>
  <c r="F149" i="14"/>
  <c r="E150" i="14"/>
  <c r="F150" i="14"/>
  <c r="E151" i="14"/>
  <c r="F151" i="14"/>
  <c r="E152" i="14"/>
  <c r="F152" i="14"/>
  <c r="D142" i="14"/>
  <c r="D143" i="14"/>
  <c r="D144" i="14"/>
  <c r="D145" i="14"/>
  <c r="D146" i="14"/>
  <c r="D147" i="14"/>
  <c r="D148" i="14"/>
  <c r="D149" i="14"/>
  <c r="D150" i="14"/>
  <c r="D151" i="14"/>
  <c r="D152" i="14"/>
  <c r="C131" i="14"/>
  <c r="B124" i="14" a="1"/>
  <c r="B124" i="14" s="1"/>
  <c r="J120" i="14" a="1"/>
  <c r="J120" i="14" s="1"/>
  <c r="F120" i="14" a="1"/>
  <c r="F120" i="14" s="1"/>
  <c r="B120" i="14" a="1"/>
  <c r="B120" i="14" s="1"/>
  <c r="C88" i="14"/>
  <c r="C89" i="14"/>
  <c r="C90" i="14"/>
  <c r="C91" i="14"/>
  <c r="C92" i="14"/>
  <c r="C93" i="14"/>
  <c r="C94" i="14"/>
  <c r="C95" i="14"/>
  <c r="C96" i="14"/>
  <c r="C97" i="14"/>
  <c r="C98" i="14"/>
  <c r="C99" i="14"/>
  <c r="C87" i="14"/>
  <c r="G78" i="14"/>
  <c r="G79" i="14"/>
  <c r="G77" i="14"/>
  <c r="D72" i="14"/>
  <c r="B68" i="14" a="1"/>
  <c r="B68" i="14" s="1"/>
  <c r="J64" i="14" a="1"/>
  <c r="J64" i="14" s="1"/>
  <c r="F64" i="14" a="1"/>
  <c r="F64" i="14" s="1"/>
  <c r="B64" i="14" a="1"/>
  <c r="B64" i="14" s="1"/>
  <c r="C34" i="14"/>
  <c r="C35" i="14"/>
  <c r="C36" i="14"/>
  <c r="C37" i="14"/>
  <c r="C38" i="14"/>
  <c r="C39" i="14"/>
  <c r="C40" i="14"/>
  <c r="C41" i="14"/>
  <c r="C42" i="14"/>
  <c r="C43" i="14"/>
  <c r="C44" i="14"/>
  <c r="C33" i="14"/>
  <c r="H20" i="14"/>
  <c r="H19" i="14"/>
  <c r="H18" i="14"/>
  <c r="H17" i="14"/>
  <c r="H16" i="14"/>
  <c r="H15" i="14"/>
  <c r="H14" i="14"/>
  <c r="H13" i="14"/>
  <c r="H12" i="14"/>
  <c r="H11" i="14"/>
  <c r="H10" i="14"/>
  <c r="H9" i="14"/>
  <c r="H8" i="14"/>
  <c r="H7" i="14"/>
  <c r="H6" i="14"/>
  <c r="H5" i="14"/>
  <c r="C5" i="14"/>
  <c r="C6" i="14"/>
  <c r="C7" i="14"/>
  <c r="C8" i="14"/>
  <c r="C9" i="14"/>
  <c r="C10" i="14"/>
  <c r="C11" i="14"/>
  <c r="C12" i="14"/>
  <c r="C13" i="14"/>
  <c r="C14" i="14"/>
  <c r="C15" i="14"/>
  <c r="C16" i="14"/>
  <c r="C17" i="14"/>
  <c r="C18" i="14"/>
  <c r="C19" i="14"/>
  <c r="C4" i="14"/>
  <c r="E43" i="12"/>
  <c r="G41" i="12"/>
  <c r="G34" i="12"/>
  <c r="G35" i="12"/>
  <c r="G36" i="12"/>
  <c r="G37" i="12"/>
  <c r="G38" i="12"/>
  <c r="G39" i="12"/>
  <c r="G40" i="12"/>
  <c r="G33" i="12"/>
  <c r="F41" i="12"/>
  <c r="F35" i="12"/>
  <c r="F36" i="12"/>
  <c r="F37" i="12"/>
  <c r="F38" i="12"/>
  <c r="F39" i="12"/>
  <c r="F40" i="12"/>
  <c r="F34" i="12"/>
  <c r="E34" i="12"/>
  <c r="E35" i="12"/>
  <c r="E36" i="12"/>
  <c r="E37" i="12"/>
  <c r="E38" i="12"/>
  <c r="E39" i="12"/>
  <c r="E40" i="12"/>
  <c r="E33" i="12"/>
  <c r="E4" i="12"/>
  <c r="D34" i="12"/>
  <c r="D35" i="12"/>
  <c r="D36" i="12"/>
  <c r="D37" i="12"/>
  <c r="D38" i="12"/>
  <c r="D39" i="12"/>
  <c r="D40" i="12"/>
  <c r="D33" i="12"/>
  <c r="D4" i="12"/>
  <c r="A43" i="12" a="1"/>
  <c r="A43" i="12" s="1"/>
  <c r="A18" i="12" a="1"/>
  <c r="A18" i="12" s="1"/>
  <c r="L36" i="11"/>
  <c r="G54" i="11"/>
  <c r="G35" i="11"/>
  <c r="G36" i="11"/>
  <c r="G37" i="11"/>
  <c r="G38" i="11"/>
  <c r="G39" i="11"/>
  <c r="G40" i="11"/>
  <c r="G41" i="11"/>
  <c r="G42" i="11"/>
  <c r="G43" i="11"/>
  <c r="G44" i="11"/>
  <c r="G45" i="11"/>
  <c r="G46" i="11"/>
  <c r="G47" i="11"/>
  <c r="G48" i="11"/>
  <c r="G49" i="11"/>
  <c r="G50" i="11"/>
  <c r="G51" i="11"/>
  <c r="G52" i="11"/>
  <c r="G53" i="11"/>
  <c r="G34" i="11"/>
  <c r="F54" i="11"/>
  <c r="F36" i="11"/>
  <c r="F37" i="11"/>
  <c r="F38" i="11"/>
  <c r="F39" i="11"/>
  <c r="F40" i="11"/>
  <c r="F41" i="11"/>
  <c r="F42" i="11"/>
  <c r="F43" i="11"/>
  <c r="F44" i="11"/>
  <c r="F45" i="11"/>
  <c r="F46" i="11"/>
  <c r="F47" i="11"/>
  <c r="F48" i="11"/>
  <c r="F49" i="11"/>
  <c r="F50" i="11"/>
  <c r="F51" i="11"/>
  <c r="F52" i="11"/>
  <c r="F53" i="11"/>
  <c r="F35" i="11"/>
  <c r="D53" i="11"/>
  <c r="E53" i="11" s="1"/>
  <c r="D52" i="11"/>
  <c r="E52" i="11" s="1"/>
  <c r="D51" i="11"/>
  <c r="E51" i="11" s="1"/>
  <c r="D50" i="11"/>
  <c r="E50" i="11" s="1"/>
  <c r="D49" i="11"/>
  <c r="E49" i="11" s="1"/>
  <c r="D48" i="11"/>
  <c r="E48" i="11" s="1"/>
  <c r="D47" i="11"/>
  <c r="E47" i="11" s="1"/>
  <c r="D46" i="11"/>
  <c r="E46" i="11" s="1"/>
  <c r="D45" i="11"/>
  <c r="E45" i="11" s="1"/>
  <c r="D44" i="11"/>
  <c r="E44" i="11" s="1"/>
  <c r="D43" i="11"/>
  <c r="E43" i="11" s="1"/>
  <c r="D42" i="11"/>
  <c r="E42" i="11" s="1"/>
  <c r="D41" i="11"/>
  <c r="E41" i="11" s="1"/>
  <c r="D40" i="11"/>
  <c r="E40" i="11" s="1"/>
  <c r="D39" i="11"/>
  <c r="E39" i="11" s="1"/>
  <c r="D38" i="11"/>
  <c r="E38" i="11" s="1"/>
  <c r="D37" i="11"/>
  <c r="E37" i="11" s="1"/>
  <c r="D36" i="11"/>
  <c r="E36" i="11" s="1"/>
  <c r="D35" i="11"/>
  <c r="E35" i="11" s="1"/>
  <c r="D34" i="11"/>
  <c r="E34" i="11" s="1"/>
  <c r="H20" i="12"/>
  <c r="D4" i="11"/>
  <c r="E4" i="11" s="1"/>
  <c r="L19" i="10" a="1"/>
  <c r="L19" i="10" s="1"/>
  <c r="L13" i="11"/>
  <c r="E10" i="11"/>
  <c r="H10" i="11" s="1"/>
  <c r="E11" i="11"/>
  <c r="H11" i="11" s="1"/>
  <c r="D5" i="11"/>
  <c r="E5" i="11" s="1"/>
  <c r="F5" i="11" s="1"/>
  <c r="D6" i="11"/>
  <c r="E6" i="11" s="1"/>
  <c r="D7" i="11"/>
  <c r="E7" i="11" s="1"/>
  <c r="D8" i="11"/>
  <c r="E8" i="11" s="1"/>
  <c r="D9" i="11"/>
  <c r="E9" i="11" s="1"/>
  <c r="D10" i="11"/>
  <c r="D11" i="11"/>
  <c r="D12" i="11"/>
  <c r="E12" i="11" s="1"/>
  <c r="F12" i="11" s="1"/>
  <c r="D13" i="11"/>
  <c r="E13" i="11" s="1"/>
  <c r="F13" i="11" s="1"/>
  <c r="D14" i="11"/>
  <c r="E14" i="11" s="1"/>
  <c r="D15" i="11"/>
  <c r="E15" i="11" s="1"/>
  <c r="D16" i="11"/>
  <c r="E16" i="11" s="1"/>
  <c r="D17" i="11"/>
  <c r="E17" i="11" s="1"/>
  <c r="D18" i="11"/>
  <c r="E18" i="11" s="1"/>
  <c r="D19" i="11"/>
  <c r="E19" i="11" s="1"/>
  <c r="D20" i="11"/>
  <c r="E20" i="11" s="1"/>
  <c r="F20" i="11" s="1"/>
  <c r="D21" i="11"/>
  <c r="E21" i="11" s="1"/>
  <c r="F21" i="11" s="1"/>
  <c r="D22" i="11"/>
  <c r="E22" i="11" s="1"/>
  <c r="D23" i="11"/>
  <c r="E23" i="11" s="1"/>
  <c r="F88" i="10"/>
  <c r="F87" i="10"/>
  <c r="C88" i="10"/>
  <c r="C87" i="10"/>
  <c r="F84" i="10"/>
  <c r="C84" i="10"/>
  <c r="C81" i="10"/>
  <c r="C69" i="10"/>
  <c r="C68" i="10"/>
  <c r="G59" i="10"/>
  <c r="J46" i="10"/>
  <c r="J46" i="10" a="1"/>
  <c r="H46" i="10" a="1"/>
  <c r="H46" i="10" s="1"/>
  <c r="R14" i="10"/>
  <c r="R14" i="10" a="1"/>
  <c r="L14" i="10" a="1"/>
  <c r="L14" i="10" s="1"/>
  <c r="F63" i="9"/>
  <c r="F62" i="9"/>
  <c r="C63" i="9"/>
  <c r="C62" i="9"/>
  <c r="F59" i="9"/>
  <c r="C59" i="9"/>
  <c r="C56" i="9"/>
  <c r="C43" i="9"/>
  <c r="C44" i="9" s="1"/>
  <c r="I34" i="9"/>
  <c r="P21" i="9" a="1"/>
  <c r="P21" i="9" s="1"/>
  <c r="N21" i="9" a="1"/>
  <c r="N21" i="9" s="1"/>
  <c r="V9" i="9" a="1"/>
  <c r="V9" i="9" s="1"/>
  <c r="N9" i="9" a="1"/>
  <c r="N9" i="9" s="1"/>
  <c r="L19" i="2" a="1"/>
  <c r="L19" i="2" s="1"/>
  <c r="R14" i="2" a="1"/>
  <c r="R14" i="2" s="1"/>
  <c r="L14" i="2" a="1"/>
  <c r="L14" i="2" s="1"/>
  <c r="V9" i="1" a="1"/>
  <c r="V9" i="1" s="1"/>
  <c r="N9" i="1" a="1"/>
  <c r="N9" i="1" s="1"/>
  <c r="J5" i="14" l="1" a="1"/>
  <c r="J5" i="14"/>
  <c r="J23" i="14" a="1"/>
  <c r="J23" i="14" s="1"/>
  <c r="J11" i="14" a="1"/>
  <c r="B27" i="12"/>
  <c r="H18" i="11"/>
  <c r="F18" i="11"/>
  <c r="H19" i="11"/>
  <c r="F19" i="11"/>
  <c r="F11" i="11"/>
  <c r="F10" i="11"/>
  <c r="D5" i="12"/>
  <c r="E5" i="12" s="1"/>
  <c r="F5" i="12" s="1"/>
  <c r="D12" i="12"/>
  <c r="D6" i="12"/>
  <c r="D15" i="12"/>
  <c r="D8" i="12"/>
  <c r="E8" i="12" s="1"/>
  <c r="G8" i="12" s="1"/>
  <c r="D9" i="12"/>
  <c r="D14" i="12"/>
  <c r="D7" i="12"/>
  <c r="D10" i="12"/>
  <c r="D13" i="12"/>
  <c r="E13" i="12" s="1"/>
  <c r="F13" i="12" s="1"/>
  <c r="D11" i="12"/>
  <c r="G23" i="11"/>
  <c r="F23" i="11"/>
  <c r="H23" i="11"/>
  <c r="G15" i="11"/>
  <c r="F15" i="11"/>
  <c r="H15" i="11"/>
  <c r="G7" i="11"/>
  <c r="F7" i="11"/>
  <c r="H7" i="11"/>
  <c r="F22" i="11"/>
  <c r="H22" i="11"/>
  <c r="G22" i="11"/>
  <c r="F14" i="11"/>
  <c r="H14" i="11"/>
  <c r="G14" i="11"/>
  <c r="F6" i="11"/>
  <c r="H6" i="11"/>
  <c r="G6" i="11"/>
  <c r="G17" i="11"/>
  <c r="F17" i="11"/>
  <c r="H17" i="11"/>
  <c r="G9" i="11"/>
  <c r="F9" i="11"/>
  <c r="H9" i="11"/>
  <c r="F4" i="11"/>
  <c r="G4" i="11"/>
  <c r="H4" i="11"/>
  <c r="G16" i="11"/>
  <c r="F16" i="11"/>
  <c r="H16" i="11"/>
  <c r="G8" i="11"/>
  <c r="F8" i="11"/>
  <c r="H8" i="11"/>
  <c r="G21" i="11"/>
  <c r="G20" i="11"/>
  <c r="G13" i="11"/>
  <c r="G5" i="11"/>
  <c r="G12" i="11"/>
  <c r="G19" i="11"/>
  <c r="G11" i="11"/>
  <c r="G18" i="11"/>
  <c r="G10" i="11"/>
  <c r="H21" i="11"/>
  <c r="H13" i="11"/>
  <c r="H5" i="11"/>
  <c r="H20" i="11"/>
  <c r="H12" i="11"/>
  <c r="B46" i="10"/>
  <c r="O14" i="10" a="1"/>
  <c r="C21" i="9"/>
  <c r="R9" i="9" a="1"/>
  <c r="R9" i="1" a="1"/>
  <c r="O14" i="2" a="1"/>
  <c r="J11" i="14" l="1"/>
  <c r="L23" i="14" a="1"/>
  <c r="L23" i="14" s="1"/>
  <c r="J17" i="14" a="1"/>
  <c r="J17" i="14" s="1"/>
  <c r="F8" i="12"/>
  <c r="H13" i="12"/>
  <c r="G5" i="12"/>
  <c r="G13" i="12"/>
  <c r="H8" i="12"/>
  <c r="H5" i="12"/>
  <c r="H9" i="12"/>
  <c r="E9" i="12"/>
  <c r="H4" i="12"/>
  <c r="H14" i="12"/>
  <c r="E14" i="12"/>
  <c r="H11" i="12"/>
  <c r="E11" i="12"/>
  <c r="E15" i="12"/>
  <c r="H15" i="12"/>
  <c r="H6" i="12"/>
  <c r="E6" i="12"/>
  <c r="E10" i="12"/>
  <c r="H10" i="12"/>
  <c r="E12" i="12"/>
  <c r="H12" i="12"/>
  <c r="E7" i="12"/>
  <c r="H7" i="12"/>
  <c r="H24" i="11"/>
  <c r="G24" i="11"/>
  <c r="F24" i="11"/>
  <c r="O14" i="10"/>
  <c r="T14" i="10" s="1" a="1"/>
  <c r="R9" i="9"/>
  <c r="X9" i="9" a="1"/>
  <c r="O14" i="2"/>
  <c r="T14" i="2" a="1"/>
  <c r="T14" i="2" s="1"/>
  <c r="R9" i="1"/>
  <c r="X9" i="1" a="1"/>
  <c r="X9" i="1" s="1"/>
  <c r="C185" i="14" l="1"/>
  <c r="H16" i="12"/>
  <c r="L9" i="11"/>
  <c r="L7" i="11"/>
  <c r="L11" i="11" s="1"/>
  <c r="F12" i="12"/>
  <c r="G12" i="12"/>
  <c r="F11" i="12"/>
  <c r="G11" i="12"/>
  <c r="G14" i="12"/>
  <c r="F14" i="12"/>
  <c r="F10" i="12"/>
  <c r="G10" i="12"/>
  <c r="G6" i="12"/>
  <c r="F6" i="12"/>
  <c r="F4" i="12"/>
  <c r="G4" i="12"/>
  <c r="F9" i="12"/>
  <c r="G9" i="12"/>
  <c r="G7" i="12"/>
  <c r="F7" i="12"/>
  <c r="F15" i="12"/>
  <c r="G15" i="12"/>
  <c r="T14" i="10"/>
  <c r="B49" i="10" a="1"/>
  <c r="B49" i="10" s="1"/>
  <c r="X9" i="9"/>
  <c r="C23" i="9" a="1"/>
  <c r="C23" i="9" s="1"/>
  <c r="G16" i="12" l="1"/>
  <c r="F16" i="12"/>
  <c r="E20" i="12" s="1"/>
  <c r="G57" i="10"/>
  <c r="B52" i="10"/>
  <c r="E52" i="10" s="1"/>
  <c r="I32" i="9"/>
  <c r="C25" i="9"/>
  <c r="C27" i="9" s="1"/>
  <c r="E18" i="12" l="1"/>
  <c r="H18" i="12" s="1"/>
  <c r="F63" i="10"/>
  <c r="F64" i="10" s="1"/>
  <c r="F72" i="10" s="1"/>
  <c r="C57" i="10"/>
  <c r="C63" i="10"/>
  <c r="C64" i="10" s="1"/>
  <c r="C72" i="10" s="1"/>
  <c r="C31" i="9"/>
  <c r="F38" i="9"/>
  <c r="F39" i="9" s="1"/>
  <c r="F47" i="9" s="1"/>
  <c r="C38" i="9"/>
  <c r="C39" i="9" s="1"/>
  <c r="C4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tc={E0C16086-A7EA-7344-AECE-001DD34DEDFE}</author>
  </authors>
  <commentList>
    <comment ref="D3" authorId="0" shapeId="0" xr:uid="{E0C16086-A7EA-7344-AECE-001DD34DEDFE}">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wartości modelowe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<sst xmlns="http://schemas.openxmlformats.org/spreadsheetml/2006/main" count="408" uniqueCount="231">
  <si>
    <t>Sprzedaż ()</t>
  </si>
  <si>
    <t>Wydatki na reklamę ()</t>
  </si>
  <si>
    <t>Cena wyrobu ()</t>
  </si>
  <si>
    <t>Za pomocą KMNK oszacuj parametry modelu ekonometrycznego.</t>
  </si>
  <si>
    <t>Wektor Y</t>
  </si>
  <si>
    <t>Macierz X</t>
  </si>
  <si>
    <t>x1</t>
  </si>
  <si>
    <t>x2</t>
  </si>
  <si>
    <t>Const</t>
  </si>
  <si>
    <t>wyznacz wektor b</t>
  </si>
  <si>
    <t>XTX</t>
  </si>
  <si>
    <t>(XTX)-1</t>
  </si>
  <si>
    <t>XTY</t>
  </si>
  <si>
    <t>b=(XtX)-1XTY</t>
  </si>
  <si>
    <r>
      <t>W pewnym przedsiębiorstwie produkcyjnym postanowiono przeanalizować kształtowanie się wielkości sprzedaży (tys. szt) wytwarzanego tam wyrobu. Postawiono hipotezę, że wielkość sprzedaży wyrobu zależy liniowo od wydatków na reklamę (tys. zł) oraz od ceny tego wyrobu (zł). Zebrano materiał statystyczny, obejmujący dziesięć kolejnych </t>
    </r>
    <r>
      <rPr>
        <sz val="12"/>
        <color rgb="FF000000"/>
        <rFont val="Calibri"/>
        <family val="2"/>
        <scheme val="minor"/>
      </rPr>
      <t>miesięcy.</t>
    </r>
  </si>
  <si>
    <t>Wartość oszacowania  informuje nas o tym, że jeżeli wydatki na reklamę () wzrosną o 1 jednostkę (tj. 1 tys. zł), to wielkość sprzedaży () wzrośnie średnio o 2,03 jednostek (tj. 2,03 tys. sztuk), przy założeniu że cena wyrobu pozostaje bez zmian.</t>
  </si>
  <si>
    <t>Wartość oszacowania  informuje nas o tym, że jeżeli cena wyrobu () wzrośnie o 1 jednostkę (tj. 1 zł), to wielkość sprzedaży () spadnie średnio o 0,49 jednostki (tj. 0,49 tys. sztuk czyli 490 szt.), przy założeniu że wydatki na reklamę pozostają bez zmian.</t>
  </si>
  <si>
    <t>Wartość oszacowania  wskazuje wielkość sprzedaży niezależną od wydatków na reklamę i ceny wyrobu.</t>
  </si>
  <si>
    <t>Rok</t>
  </si>
  <si>
    <t>Sprzedaż przedsiębiorstwa (tys. zł)</t>
  </si>
  <si>
    <t>t</t>
  </si>
  <si>
    <t>W pewnym przedsiębiorstwie postanowiono przeanalizować kształtowanie się sprzedaży (tys. zł) w czasie.</t>
  </si>
  <si>
    <t>Zamieszczona poniżej tabela przedstawia zebrane dane dotyczące wartości sprzedaży za okres 2000 – 2019.</t>
  </si>
  <si>
    <t>Etapy szacowania modelu ekonometrycznego:</t>
  </si>
  <si>
    <t>zmienna objaśniana Y:</t>
  </si>
  <si>
    <t xml:space="preserve">sprzedaż </t>
  </si>
  <si>
    <t>analizujemy jak zmienia się sprzedaż w czasie</t>
  </si>
  <si>
    <t>zmienna objaśniająca X</t>
  </si>
  <si>
    <t>czas</t>
  </si>
  <si>
    <t>analizujemy czy sprzedaż rośnie z upływem czasu</t>
  </si>
  <si>
    <t>postać modelu</t>
  </si>
  <si>
    <t>model trendu liniowego</t>
  </si>
  <si>
    <t>XTY-1</t>
  </si>
  <si>
    <t>sposób 2:</t>
  </si>
  <si>
    <t>funkcja REGLINP</t>
  </si>
  <si>
    <t>y=13,5+0,37t</t>
  </si>
  <si>
    <t>Wartość oszacowania informuje nas o tym, że jeżeli czas (t) wzrośnie o 1 jednostkę (tj. o 1 rok), to wielkość sprzedaży przedsiębiorstwa wzrośnie średnio o 0,37 jednostki (tj. o 0,37 tys. zł), przy założeniu niezmienności pozostałych czynników.</t>
  </si>
  <si>
    <t>sposób 3:</t>
  </si>
  <si>
    <t>wykres</t>
  </si>
  <si>
    <t>Ocena dopasowania (2.3)</t>
  </si>
  <si>
    <t>YtY</t>
  </si>
  <si>
    <t>1tY</t>
  </si>
  <si>
    <t>T (l. obserwacji)</t>
  </si>
  <si>
    <t>OSK</t>
  </si>
  <si>
    <t>SKR</t>
  </si>
  <si>
    <t>RSK</t>
  </si>
  <si>
    <t>R2</t>
  </si>
  <si>
    <t>Dopasowanie modelu ekonometrycznego</t>
  </si>
  <si>
    <t>T (ilość obserwacji)</t>
  </si>
  <si>
    <t>Obliczenie współczynnika zmienności losowej</t>
  </si>
  <si>
    <t>oszacowanie odchylenia składnika losowego</t>
  </si>
  <si>
    <t>s</t>
  </si>
  <si>
    <t>K (lcbza parametrów)</t>
  </si>
  <si>
    <t>śednia</t>
  </si>
  <si>
    <t>Vy</t>
  </si>
  <si>
    <t>K (liczba parametrów):</t>
  </si>
  <si>
    <t>średnia</t>
  </si>
  <si>
    <t>Badanie istotności zmiennej</t>
  </si>
  <si>
    <t>d1</t>
  </si>
  <si>
    <t>t1</t>
  </si>
  <si>
    <t>d2</t>
  </si>
  <si>
    <t>t2</t>
  </si>
  <si>
    <t>ustalenie wartości krytycznej</t>
  </si>
  <si>
    <t>alpha</t>
  </si>
  <si>
    <t>liczba stopni swoboty T-K</t>
  </si>
  <si>
    <t>t(alpha, T-K)</t>
  </si>
  <si>
    <t>porównanie modułów</t>
  </si>
  <si>
    <t>|t1|</t>
  </si>
  <si>
    <t>|t2|</t>
  </si>
  <si>
    <t>wartości większe od krytycznej, odrzucamy H0 na korzyść H1, obie zmienne są istotne</t>
  </si>
  <si>
    <t>Konstrukcja przedziału ufności</t>
  </si>
  <si>
    <t>ustalenie wartości krytycznej t(alfa, T-K)</t>
  </si>
  <si>
    <t>rzyjęty poziom ufności u:</t>
  </si>
  <si>
    <t>zatem alpha:</t>
  </si>
  <si>
    <t>T-K</t>
  </si>
  <si>
    <t>t(0,05;7)</t>
  </si>
  <si>
    <t>delta 1 0.95</t>
  </si>
  <si>
    <t>delta 2</t>
  </si>
  <si>
    <t>przedział U 1</t>
  </si>
  <si>
    <t>dolna</t>
  </si>
  <si>
    <t>górna</t>
  </si>
  <si>
    <t>Prognozowanie ekonometryczne</t>
  </si>
  <si>
    <t>y= 0,3717x + 13,523</t>
  </si>
  <si>
    <t>???</t>
  </si>
  <si>
    <t>b=</t>
  </si>
  <si>
    <t>ydaszek</t>
  </si>
  <si>
    <t>et</t>
  </si>
  <si>
    <t>et2</t>
  </si>
  <si>
    <t>et3</t>
  </si>
  <si>
    <t>et4</t>
  </si>
  <si>
    <t>S=</t>
  </si>
  <si>
    <t>skośność</t>
  </si>
  <si>
    <t>kurtoza</t>
  </si>
  <si>
    <t>K=</t>
  </si>
  <si>
    <t>JBT=</t>
  </si>
  <si>
    <t>wartość statystyki testowej</t>
  </si>
  <si>
    <t>wartość krytyczna</t>
  </si>
  <si>
    <t>Produkcja cukru</t>
  </si>
  <si>
    <t>Zbiory buraków</t>
  </si>
  <si>
    <t>X</t>
  </si>
  <si>
    <t>Test White'a</t>
  </si>
  <si>
    <t>brak danych</t>
  </si>
  <si>
    <t>TR=</t>
  </si>
  <si>
    <t>Test Durbina-Watsona</t>
  </si>
  <si>
    <t>(et-et-1)^2</t>
  </si>
  <si>
    <t>et^2</t>
  </si>
  <si>
    <t>DW=</t>
  </si>
  <si>
    <t>Test Jarque-Bera</t>
  </si>
  <si>
    <t>H1: autokorelacja dodatnia</t>
  </si>
  <si>
    <t>DWdolne=</t>
  </si>
  <si>
    <t>DWgórne=</t>
  </si>
  <si>
    <t>z tablicy</t>
  </si>
  <si>
    <t>akceptacja hipotezt zerowej:</t>
  </si>
  <si>
    <t>brak autokorelacji składnika losowego</t>
  </si>
  <si>
    <t>Miesiące</t>
  </si>
  <si>
    <t>Sprzedaż</t>
  </si>
  <si>
    <t>Parabola</t>
  </si>
  <si>
    <t>Wydajność</t>
  </si>
  <si>
    <t>Staż</t>
  </si>
  <si>
    <t>y=b0+b1x+b2x^2</t>
  </si>
  <si>
    <t>staż^2</t>
  </si>
  <si>
    <t>macierz</t>
  </si>
  <si>
    <t>macierz transponowana</t>
  </si>
  <si>
    <t>iloczyn macierzy</t>
  </si>
  <si>
    <t>macierz odwrócona</t>
  </si>
  <si>
    <t>parametry</t>
  </si>
  <si>
    <t>Hiperbola</t>
  </si>
  <si>
    <t>Miesiąc</t>
  </si>
  <si>
    <t>Sprzedaż telewizorów</t>
  </si>
  <si>
    <t>y=b0+b1/t</t>
  </si>
  <si>
    <t>miesiąc</t>
  </si>
  <si>
    <t>Przedsiębiorstwo produkujące sprzęt AGD i RTV stwierdziło, że wielkość sprzedaży pewnego modelu telewizorów wykazuje od kilku miesięcy tendencję spadkową. W związku z tym postanowiono postawić prognozę, jaka będzie wielkość tej sprzedaży (w setkach sztuk) w kolejnych trzech miesiącach.</t>
  </si>
  <si>
    <t>z1</t>
  </si>
  <si>
    <t>const</t>
  </si>
  <si>
    <t>Z=</t>
  </si>
  <si>
    <t>Y=</t>
  </si>
  <si>
    <t>Z'Z</t>
  </si>
  <si>
    <t>Z'Z=</t>
  </si>
  <si>
    <t>(Z'Z)-1=</t>
  </si>
  <si>
    <t>Z'Y=</t>
  </si>
  <si>
    <t>b=(Z'Z)^-1Z'Y</t>
  </si>
  <si>
    <t>y=-89,48+(-68,86/t)</t>
  </si>
  <si>
    <t>b0=</t>
  </si>
  <si>
    <t>b1=</t>
  </si>
  <si>
    <t>y=68,8594+89,4838*1/t</t>
  </si>
  <si>
    <t>miesiące</t>
  </si>
  <si>
    <t>OK</t>
  </si>
  <si>
    <t>modele linowe względem parametrów</t>
  </si>
  <si>
    <t>modele linearyzowalne</t>
  </si>
  <si>
    <t>funkcja wykładnicza</t>
  </si>
  <si>
    <t>Funkcja wykładnicza</t>
  </si>
  <si>
    <t>Podaż pieniądza</t>
  </si>
  <si>
    <t>y=b0*e^b1*t</t>
  </si>
  <si>
    <t>Dane przedstawiają podaż pieniądza w Polsce (stan w końcu roku w mld zł). Oszacuj trend wykładniczy , opisujący zmiany podaży pieniądza w Polsce w badanym okresie.</t>
  </si>
  <si>
    <t>w</t>
  </si>
  <si>
    <t>z1=t</t>
  </si>
  <si>
    <t>W=</t>
  </si>
  <si>
    <t>(Z'Z)^-1</t>
  </si>
  <si>
    <t>Z'W</t>
  </si>
  <si>
    <t>b=(Z'Z)^-1Z'W</t>
  </si>
  <si>
    <t>b1</t>
  </si>
  <si>
    <t>b0*</t>
  </si>
  <si>
    <t>w= b0*+b1*t</t>
  </si>
  <si>
    <t>bo=e^b0*=</t>
  </si>
  <si>
    <t>w= 6,21 - 0,08t</t>
  </si>
  <si>
    <t>y=496,42*e^0,08t</t>
  </si>
  <si>
    <t>funkcja potęgowa</t>
  </si>
  <si>
    <t>Postawiono hipotezę, iż wartość produkcji (Y w 100 tys. zł) w spółce Alfa zależy od wielkości jej aktywów (X1 w mln zł) oraz zatrudnienia (X2 w osobach). Oszacuj parametry modelu potęgowego opisującego zmiany wielkości produkcji w spółce.</t>
  </si>
  <si>
    <t>Wartość produkcji</t>
  </si>
  <si>
    <t>Wartość aktywów</t>
  </si>
  <si>
    <t>Zatrudnienie</t>
  </si>
  <si>
    <t>y=b0*x1^b1*x2^b2</t>
  </si>
  <si>
    <t>z2</t>
  </si>
  <si>
    <t>Z</t>
  </si>
  <si>
    <t>W</t>
  </si>
  <si>
    <t>(Z'Z)-1</t>
  </si>
  <si>
    <t>b2</t>
  </si>
  <si>
    <t>w=b0*+b1z1+b2z2</t>
  </si>
  <si>
    <t>w=1,9 + 0,4z1 - 0,15z2</t>
  </si>
  <si>
    <t>b0=e^b0*</t>
  </si>
  <si>
    <t>y=6,66*1^0,4*x2^-0,15</t>
  </si>
  <si>
    <t>Sprzedaż (y)</t>
  </si>
  <si>
    <t>Wydatki na reklamę (x1)</t>
  </si>
  <si>
    <t>Cena wyrobu (x2)</t>
  </si>
  <si>
    <t>PODSUMOWANIE - WYJŚCIE</t>
  </si>
  <si>
    <t>Statystyki regresji</t>
  </si>
  <si>
    <t>Wielokrotność R</t>
  </si>
  <si>
    <t>R kwadrat</t>
  </si>
  <si>
    <t>Dopasowany R kwadrat</t>
  </si>
  <si>
    <t>Błąd standardowy</t>
  </si>
  <si>
    <t>Obserwacje</t>
  </si>
  <si>
    <t>ANALIZA WARIANCJI</t>
  </si>
  <si>
    <t>Regresja</t>
  </si>
  <si>
    <t>Resztkowy</t>
  </si>
  <si>
    <t>Razem</t>
  </si>
  <si>
    <t>Przecięcie</t>
  </si>
  <si>
    <t>df</t>
  </si>
  <si>
    <t>SS</t>
  </si>
  <si>
    <t>MS</t>
  </si>
  <si>
    <t>F</t>
  </si>
  <si>
    <t>Istotność F</t>
  </si>
  <si>
    <t>Współczynniki</t>
  </si>
  <si>
    <t>t Stat</t>
  </si>
  <si>
    <t>Wartość-p</t>
  </si>
  <si>
    <t>Dolne 95%</t>
  </si>
  <si>
    <t>Górne 95%</t>
  </si>
  <si>
    <t>Dolne 90,0%</t>
  </si>
  <si>
    <t>Górne 90,0%</t>
  </si>
  <si>
    <t>oszacowanie nieznanych parametrów (wektor b)</t>
  </si>
  <si>
    <t>dopasowanie modelu (R^2)</t>
  </si>
  <si>
    <t>istotność zmiennych objaśniających</t>
  </si>
  <si>
    <t>p&lt;poziom istotności - zmienna istotna</t>
  </si>
  <si>
    <t>Vy=</t>
  </si>
  <si>
    <t>wpływ składnika losowego na zmienną objaśnianą</t>
  </si>
  <si>
    <t>przedziały ufności dla nieznanych paremetrów beta wyst w modelu</t>
  </si>
  <si>
    <t>DODATEK ANALIZA DANYCH</t>
  </si>
  <si>
    <t>REGLINP</t>
  </si>
  <si>
    <t>^RSK</t>
  </si>
  <si>
    <t>^SKR</t>
  </si>
  <si>
    <t>test t-Studenta</t>
  </si>
  <si>
    <t>t1=</t>
  </si>
  <si>
    <t>t2=</t>
  </si>
  <si>
    <t xml:space="preserve">&lt;d </t>
  </si>
  <si>
    <t>b/d</t>
  </si>
  <si>
    <t>wartość krytyczna t-Studenta</t>
  </si>
  <si>
    <t>stopnie swobody modelu</t>
  </si>
  <si>
    <t>Vy=s/y*100%</t>
  </si>
  <si>
    <t>średnia y</t>
  </si>
  <si>
    <t>przedziały ufności</t>
  </si>
  <si>
    <t>U1</t>
  </si>
  <si>
    <t>U2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</si>
</sst>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charset val="238"/>
      <scheme val="minor"/>
    </font>
    <font>
      <sz val="12"/>
      <color rgb="FF313131"/>
      <name val="Calibri"/>
      <family val="2"/>
      <scheme val="minor"/>
    </font>
    <font>
      <sz val="12"/>
      <color rgb="FF000000"/>
      <name val="Calibri"/>
      <family val="2"/>
      <scheme val="minor"/>
    </font>
    <font>
      <sz val="12"/>
      <color theme="1"/>
      <name val="Calibri"/>
      <family val="2"/>
      <scheme val="minor"/>
    </font>
    <font>
      <sz val="12"/>
      <color rgb="FF262640"/>
      <name val="Calibri"/>
      <family val="2"/>
      <scheme val="minor"/>
    </font>
    <font>
      <b/>
      <sz val="12"/>
      <color rgb="FF262640"/>
      <name val="Calibri"/>
      <family val="2"/>
      <scheme val="minor"/>
    </font>
    <font>
      <b/>
      <sz val="12"/>
      <color theme="1"/>
      <name val="Calibri"/>
      <family val="2"/>
      <scheme val="minor"/>
    </font>
    <font>
      <b/>
      <sz val="12"/>
      <color theme="0"/>
      <name val="Calibri"/>
      <family val="2"/>
      <scheme val="minor"/>
    </font>
    <font>
      <i/>
      <sz val="12"/>
      <color theme="1"/>
      <name val="Calibri"/>
      <family val="2"/>
      <charset val="238"/>
      <scheme val="minor"/>
    </font>
    <font>
      <i/>
      <sz val="12"/>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6"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0">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3" fillId="2" borderId="0" xfId="0" applyFont="1" applyFill="1"/>
    <xf numFmtId="10" fontId="3" fillId="0" borderId="0" xfId="0" applyNumberFormat="1" applyFont="1"/>
    <xf numFmtId="10" fontId="6" fillId="0" borderId="0" xfId="0" applyNumberFormat="1" applyFont="1"/>
    <xf numFmtId="0" fontId="7" fillId="3" borderId="0" xfId="0" applyFont="1" applyFill="1"/>
    <xf numFmtId="0" fontId="0" fillId="2" borderId="0" xfId="0" applyFill="1"/>
    <xf numFmtId="0" fontId="7" fillId="4" borderId="0" xfId="0" applyFont="1" applyFill="1"/>
    <xf numFmtId="0" fontId="0" fillId="0" borderId="0" xfId="0" applyFill="1" applyBorder="1" applyAlignment="1"/>
    <xf numFmtId="0" fontId="0" fillId="0" borderId="1" xfId="0" applyFill="1" applyBorder="1" applyAlignment="1"/>
    <xf numFmtId="0" fontId="8" fillId="0" borderId="2" xfId="0" applyFont="1" applyFill="1" applyBorder="1" applyAlignment="1">
      <alignment horizontal="center"/>
    </xf>
    <xf numFmtId="0" fontId="8" fillId="0" borderId="2" xfId="0" applyFont="1" applyFill="1" applyBorder="1" applyAlignment="1">
      <alignment horizontal="centerContinuous"/>
    </xf>
    <xf numFmtId="0" fontId="0" fillId="5" borderId="0" xfId="0" applyFill="1" applyBorder="1" applyAlignment="1"/>
    <xf numFmtId="0" fontId="0" fillId="5" borderId="1" xfId="0" applyFill="1" applyBorder="1" applyAlignment="1"/>
    <xf numFmtId="0" fontId="0" fillId="5" borderId="0" xfId="0" applyFill="1"/>
    <xf numFmtId="0" fontId="0" fillId="6" borderId="0" xfId="0" applyFill="1" applyBorder="1" applyAlignment="1"/>
    <xf numFmtId="0" fontId="0" fillId="6" borderId="0" xfId="0" applyFill="1"/>
    <xf numFmtId="0" fontId="0" fillId="7" borderId="0" xfId="0" applyFill="1" applyBorder="1" applyAlignment="1"/>
    <xf numFmtId="0" fontId="0" fillId="7" borderId="1" xfId="0" applyFill="1" applyBorder="1" applyAlignment="1"/>
    <xf numFmtId="0" fontId="0" fillId="8" borderId="0" xfId="0" applyFill="1" applyBorder="1" applyAlignment="1"/>
    <xf numFmtId="0" fontId="0" fillId="8" borderId="1" xfId="0" applyFill="1" applyBorder="1" applyAlignment="1"/>
    <xf numFmtId="10" fontId="0" fillId="0" borderId="0" xfId="0" applyNumberFormat="1"/>
    <xf numFmtId="0" fontId="0" fillId="9" borderId="0" xfId="0" applyFill="1"/>
    <xf numFmtId="10" fontId="0" fillId="9" borderId="0" xfId="0" applyNumberFormat="1" applyFill="1"/>
    <xf numFmtId="0" fontId="0" fillId="10" borderId="0" xfId="0" applyFill="1" applyBorder="1" applyAlignment="1"/>
    <xf numFmtId="0" fontId="0" fillId="10" borderId="1" xfId="0" applyFill="1" applyBorder="1" applyAlignment="1"/>
    <xf numFmtId="0" fontId="6" fillId="2" borderId="0" xfId="0" applyFont="1" applyFill="1"/>
    <xf numFmtId="0" fontId="9" fillId="0" borderId="0" xfId="0" applyFont="1"/>
    <xf numFmtId="0" fontId="9" fillId="9" borderId="0" xfId="0" applyFont="1" applyFill="1"/>
    <xf numFmtId="0" fontId="9" fillId="6" borderId="0" xfId="0" applyFont="1" applyFill="1"/>
    <xf numFmtId="0" fontId="9" fillId="5" borderId="0" xfId="0" applyFont="1" applyFill="1"/>
    <xf numFmtId="0" fontId="9" fillId="7" borderId="0" xfId="0" applyFont="1" applyFill="1"/>
    <xf numFmtId="0" fontId="9" fillId="8" borderId="0" xfId="0" applyFont="1" applyFill="1"/>
    <xf numFmtId="0" fontId="9" fillId="10" borderId="0" xfId="0" applyFont="1" applyFill="1"/>
    <xf numFmtId="0" fontId="0" fillId="11" borderId="0" xfId="0" applyFill="1"/>
    <xf numFmtId="0" fontId="0" fillId="2" borderId="0" xfId="0" applyFill="1" applyBorder="1" applyAlignment="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0050000000000005"/>
                  <c:y val="0.27582567804024499"/>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 = 0,3717x + 13,523</a:t>
                    </a:r>
                    <a:endParaRPr lang="en-US" sz="12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modul_1_samodzielne!$C$2:$C$21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modul_1_samodzielne!$B$2:$B$21</c:f>
              <c:numCache>
                <c:formatCode>General</c:formatCode>
                <c:ptCount val="20"/>
                <c:pt idx="0">
                  <c:v>14</c:v>
                </c:pt>
                <c:pt idx="1">
                  <c:v>14.9</c:v>
                </c:pt>
                <c:pt idx="2">
                  <c:v>14.5</c:v>
                </c:pt>
                <c:pt idx="3">
                  <c:v>15.3</c:v>
                </c:pt>
                <c:pt idx="4">
                  <c:v>15.3</c:v>
                </c:pt>
                <c:pt idx="5">
                  <c:v>15.2</c:v>
                </c:pt>
                <c:pt idx="6">
                  <c:v>15.8</c:v>
                </c:pt>
                <c:pt idx="7">
                  <c:v>16.5</c:v>
                </c:pt>
                <c:pt idx="8">
                  <c:v>16.600000000000001</c:v>
                </c:pt>
                <c:pt idx="9">
                  <c:v>17</c:v>
                </c:pt>
                <c:pt idx="10">
                  <c:v>17.7</c:v>
                </c:pt>
                <c:pt idx="11">
                  <c:v>17.7</c:v>
                </c:pt>
                <c:pt idx="12">
                  <c:v>18.8</c:v>
                </c:pt>
                <c:pt idx="13">
                  <c:v>18.7</c:v>
                </c:pt>
                <c:pt idx="14">
                  <c:v>19.100000000000001</c:v>
                </c:pt>
                <c:pt idx="15">
                  <c:v>19.600000000000001</c:v>
                </c:pt>
                <c:pt idx="16">
                  <c:v>20</c:v>
                </c:pt>
                <c:pt idx="17">
                  <c:v>20.399999999999999</c:v>
                </c:pt>
                <c:pt idx="18">
                  <c:v>20.399999999999999</c:v>
                </c:pt>
                <c:pt idx="19">
                  <c:v>21</c:v>
                </c:pt>
              </c:numCache>
            </c:numRef>
          </c:yVal>
          <c:smooth val="1"/>
          <c:extLst>
            <c:ext xmlns:c16="http://schemas.microsoft.com/office/drawing/2014/chart" uri="{C3380CC4-5D6E-409C-BE32-E72D297353CC}">
              <c16:uniqueId val="{00000000-9C51-124C-A221-29B1F866A1AE}"/>
            </c:ext>
          </c:extLst>
        </c:ser>
        <c:dLbls>
          <c:showLegendKey val="0"/>
          <c:showVal val="0"/>
          <c:showCatName val="0"/>
          <c:showSerName val="0"/>
          <c:showPercent val="0"/>
          <c:showBubbleSize val="0"/>
        </c:dLbls>
        <c:axId val="2087363647"/>
        <c:axId val="285731008"/>
      </c:scatterChart>
      <c:valAx>
        <c:axId val="208736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85731008"/>
        <c:crosses val="autoZero"/>
        <c:crossBetween val="midCat"/>
      </c:valAx>
      <c:valAx>
        <c:axId val="28573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087363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0050000000000005"/>
                  <c:y val="0.27582567804024499"/>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 = 0,3717x + 13,523</a:t>
                    </a:r>
                    <a:endParaRPr lang="en-US" sz="12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modul_1_samodzielne!$C$2:$C$21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modul_1_samodzielne!$B$2:$B$21</c:f>
              <c:numCache>
                <c:formatCode>General</c:formatCode>
                <c:ptCount val="20"/>
                <c:pt idx="0">
                  <c:v>14</c:v>
                </c:pt>
                <c:pt idx="1">
                  <c:v>14.9</c:v>
                </c:pt>
                <c:pt idx="2">
                  <c:v>14.5</c:v>
                </c:pt>
                <c:pt idx="3">
                  <c:v>15.3</c:v>
                </c:pt>
                <c:pt idx="4">
                  <c:v>15.3</c:v>
                </c:pt>
                <c:pt idx="5">
                  <c:v>15.2</c:v>
                </c:pt>
                <c:pt idx="6">
                  <c:v>15.8</c:v>
                </c:pt>
                <c:pt idx="7">
                  <c:v>16.5</c:v>
                </c:pt>
                <c:pt idx="8">
                  <c:v>16.600000000000001</c:v>
                </c:pt>
                <c:pt idx="9">
                  <c:v>17</c:v>
                </c:pt>
                <c:pt idx="10">
                  <c:v>17.7</c:v>
                </c:pt>
                <c:pt idx="11">
                  <c:v>17.7</c:v>
                </c:pt>
                <c:pt idx="12">
                  <c:v>18.8</c:v>
                </c:pt>
                <c:pt idx="13">
                  <c:v>18.7</c:v>
                </c:pt>
                <c:pt idx="14">
                  <c:v>19.100000000000001</c:v>
                </c:pt>
                <c:pt idx="15">
                  <c:v>19.600000000000001</c:v>
                </c:pt>
                <c:pt idx="16">
                  <c:v>20</c:v>
                </c:pt>
                <c:pt idx="17">
                  <c:v>20.399999999999999</c:v>
                </c:pt>
                <c:pt idx="18">
                  <c:v>20.399999999999999</c:v>
                </c:pt>
                <c:pt idx="19">
                  <c:v>21</c:v>
                </c:pt>
              </c:numCache>
            </c:numRef>
          </c:yVal>
          <c:smooth val="1"/>
          <c:extLst>
            <c:ext xmlns:c16="http://schemas.microsoft.com/office/drawing/2014/chart" uri="{C3380CC4-5D6E-409C-BE32-E72D297353CC}">
              <c16:uniqueId val="{00000001-9699-CB46-BA02-D7AC0C14F054}"/>
            </c:ext>
          </c:extLst>
        </c:ser>
        <c:dLbls>
          <c:showLegendKey val="0"/>
          <c:showVal val="0"/>
          <c:showCatName val="0"/>
          <c:showSerName val="0"/>
          <c:showPercent val="0"/>
          <c:showBubbleSize val="0"/>
        </c:dLbls>
        <c:axId val="2087363647"/>
        <c:axId val="285731008"/>
      </c:scatterChart>
      <c:valAx>
        <c:axId val="208736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85731008"/>
        <c:crosses val="autoZero"/>
        <c:crossBetween val="midCat"/>
      </c:valAx>
      <c:valAx>
        <c:axId val="28573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087363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modul_4_samodzielne!$A$33:$A$44</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modul_4_samodzielne!$B$33:$B$44</c:f>
              <c:numCache>
                <c:formatCode>General</c:formatCode>
                <c:ptCount val="12"/>
                <c:pt idx="0">
                  <c:v>150</c:v>
                </c:pt>
                <c:pt idx="1">
                  <c:v>120</c:v>
                </c:pt>
                <c:pt idx="2">
                  <c:v>110</c:v>
                </c:pt>
                <c:pt idx="3">
                  <c:v>105</c:v>
                </c:pt>
                <c:pt idx="4">
                  <c:v>90</c:v>
                </c:pt>
                <c:pt idx="5">
                  <c:v>85</c:v>
                </c:pt>
                <c:pt idx="6">
                  <c:v>80</c:v>
                </c:pt>
                <c:pt idx="7">
                  <c:v>75</c:v>
                </c:pt>
                <c:pt idx="8">
                  <c:v>70</c:v>
                </c:pt>
                <c:pt idx="9">
                  <c:v>75</c:v>
                </c:pt>
                <c:pt idx="10">
                  <c:v>74</c:v>
                </c:pt>
                <c:pt idx="11">
                  <c:v>70</c:v>
                </c:pt>
              </c:numCache>
            </c:numRef>
          </c:yVal>
          <c:smooth val="1"/>
          <c:extLst>
            <c:ext xmlns:c16="http://schemas.microsoft.com/office/drawing/2014/chart" uri="{C3380CC4-5D6E-409C-BE32-E72D297353CC}">
              <c16:uniqueId val="{00000000-4609-854B-BA97-214BB7424689}"/>
            </c:ext>
          </c:extLst>
        </c:ser>
        <c:dLbls>
          <c:showLegendKey val="0"/>
          <c:showVal val="0"/>
          <c:showCatName val="0"/>
          <c:showSerName val="0"/>
          <c:showPercent val="0"/>
          <c:showBubbleSize val="0"/>
        </c:dLbls>
        <c:axId val="298623728"/>
        <c:axId val="34901776"/>
      </c:scatterChart>
      <c:valAx>
        <c:axId val="298623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4901776"/>
        <c:crosses val="autoZero"/>
        <c:crossBetween val="midCat"/>
      </c:valAx>
      <c:valAx>
        <c:axId val="3490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98623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12700</xdr:colOff>
      <xdr:row>26</xdr:row>
      <xdr:rowOff>31750</xdr:rowOff>
    </xdr:from>
    <xdr:to>
      <xdr:col>16</xdr:col>
      <xdr:colOff>457200</xdr:colOff>
      <xdr:row>39</xdr:row>
      <xdr:rowOff>133350</xdr:rowOff>
    </xdr:to>
    <xdr:graphicFrame macro="">
      <xdr:nvGraphicFramePr>
        <xdr:cNvPr id="3" name="Wykres 2">
          <a:extLst>
            <a:ext uri="{FF2B5EF4-FFF2-40B4-BE49-F238E27FC236}">
              <a16:creationId xmlns:a16="http://schemas.microsoft.com/office/drawing/2014/main" id="{5A87EB49-556D-D618-B6CC-528BE987D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12700</xdr:colOff>
      <xdr:row>26</xdr:row>
      <xdr:rowOff>31750</xdr:rowOff>
    </xdr:from>
    <xdr:to>
      <xdr:col>16</xdr:col>
      <xdr:colOff>457200</xdr:colOff>
      <xdr:row>39</xdr:row>
      <xdr:rowOff>133350</xdr:rowOff>
    </xdr:to>
    <xdr:graphicFrame macro="">
      <xdr:nvGraphicFramePr>
        <xdr:cNvPr id="2" name="Wykres 1">
          <a:extLst>
            <a:ext uri="{FF2B5EF4-FFF2-40B4-BE49-F238E27FC236}">
              <a16:creationId xmlns:a16="http://schemas.microsoft.com/office/drawing/2014/main" id="{242C8789-2225-C643-B732-737AEC053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819150</xdr:colOff>
      <xdr:row>30</xdr:row>
      <xdr:rowOff>171450</xdr:rowOff>
    </xdr:from>
    <xdr:to>
      <xdr:col>10</xdr:col>
      <xdr:colOff>438150</xdr:colOff>
      <xdr:row>44</xdr:row>
      <xdr:rowOff>69850</xdr:rowOff>
    </xdr:to>
    <xdr:graphicFrame macro="">
      <xdr:nvGraphicFramePr>
        <xdr:cNvPr id="5" name="Wykres 4">
          <a:extLst>
            <a:ext uri="{FF2B5EF4-FFF2-40B4-BE49-F238E27FC236}">
              <a16:creationId xmlns:a16="http://schemas.microsoft.com/office/drawing/2014/main" id="{447A03DF-6CB2-9151-C4F6-DB5663ED8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Mucha-Balcerek" id="{B2D2CCC5-0864-A14F-977F-673AF3DB9657}" userId="3fc9409e5b5e265f" providerId="Windows Live"/>
</personList>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 dT="2026-05-25T09:07:25.31" personId="{B2D2CCC5-0864-A14F-977F-673AF3DB9657}" id="{E0C16086-A7EA-7344-AECE-001DD34DEDFE}">
    <text>wartości modelowe</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9A726-CF6A-CA48-B9FF-07FC936F5B45}">
  <dimension ref="A1:Z17"/>
  <sheetViews>
    <sheetView workbookViewId="0">
      <selection sqref="A1:K3"/>
    </sheetView>
  </sheetViews>
  <sheetFormatPr baseColWidth="10" defaultRowHeight="16" x14ac:dyDescent="0.2"/>
  <cols>
    <col min="1" max="1" width="19.33203125" style="2" bestFit="1" customWidth="1"/>
    <col min="2" max="16384" width="10.83203125" style="2"/>
  </cols>
  <sheetData>
    <row r="1" spans="1:26" x14ac:dyDescent="0.2">
      <c r="A1" s="3" t="s">
        <v>0</v>
      </c>
      <c r="B1" s="3">
        <v>4.2</v>
      </c>
      <c r="C1" s="3">
        <v>5.8</v>
      </c>
      <c r="D1" s="3">
        <v>7</v>
      </c>
      <c r="E1" s="3">
        <v>7</v>
      </c>
      <c r="F1" s="3">
        <v>2.8</v>
      </c>
      <c r="G1" s="3">
        <v>3.2</v>
      </c>
      <c r="H1" s="3">
        <v>2.8</v>
      </c>
      <c r="I1" s="3">
        <v>5.6</v>
      </c>
      <c r="J1" s="3">
        <v>8</v>
      </c>
      <c r="K1" s="3">
        <v>5.6</v>
      </c>
      <c r="N1" s="1" t="s">
        <v>14</v>
      </c>
    </row>
    <row r="2" spans="1:26" x14ac:dyDescent="0.2">
      <c r="A2" s="3" t="s">
        <v>1</v>
      </c>
      <c r="B2" s="3">
        <v>3.5</v>
      </c>
      <c r="C2" s="3">
        <v>4</v>
      </c>
      <c r="D2" s="3">
        <v>5</v>
      </c>
      <c r="E2" s="3">
        <v>4.5</v>
      </c>
      <c r="F2" s="3">
        <v>3</v>
      </c>
      <c r="G2" s="3">
        <v>3.5</v>
      </c>
      <c r="H2" s="3">
        <v>3</v>
      </c>
      <c r="I2" s="3">
        <v>4.5</v>
      </c>
      <c r="J2" s="3">
        <v>5</v>
      </c>
      <c r="K2" s="3">
        <v>4</v>
      </c>
      <c r="N2" s="1" t="s">
        <v>3</v>
      </c>
    </row>
    <row r="3" spans="1:26" x14ac:dyDescent="0.2">
      <c r="A3" s="3" t="s">
        <v>2</v>
      </c>
      <c r="B3" s="3">
        <v>8</v>
      </c>
      <c r="C3" s="3">
        <v>7</v>
      </c>
      <c r="D3" s="3">
        <v>8</v>
      </c>
      <c r="E3" s="3">
        <v>6.5</v>
      </c>
      <c r="F3" s="3">
        <v>8.5</v>
      </c>
      <c r="G3" s="3">
        <v>9</v>
      </c>
      <c r="H3" s="3">
        <v>10</v>
      </c>
      <c r="I3" s="3">
        <v>9</v>
      </c>
      <c r="J3" s="3">
        <v>7.5</v>
      </c>
      <c r="K3" s="3">
        <v>8</v>
      </c>
    </row>
    <row r="6" spans="1:26" x14ac:dyDescent="0.2">
      <c r="B6" s="2" t="s">
        <v>4</v>
      </c>
      <c r="D6" s="2" t="s">
        <v>5</v>
      </c>
      <c r="N6" s="2" t="s">
        <v>9</v>
      </c>
    </row>
    <row r="7" spans="1:26" x14ac:dyDescent="0.2">
      <c r="D7" s="2" t="s">
        <v>6</v>
      </c>
      <c r="E7" s="2" t="s">
        <v>7</v>
      </c>
      <c r="F7" s="2" t="s">
        <v>8</v>
      </c>
    </row>
    <row r="8" spans="1:26" x14ac:dyDescent="0.2">
      <c r="B8" s="3">
        <v>4.2</v>
      </c>
      <c r="D8" s="3">
        <v>3.5</v>
      </c>
      <c r="E8" s="3">
        <v>8</v>
      </c>
      <c r="F8" s="3">
        <v>1</v>
      </c>
      <c r="N8" s="2" t="s">
        <v>10</v>
      </c>
      <c r="R8" s="2" t="s">
        <v>11</v>
      </c>
      <c r="V8" s="2" t="s">
        <v>12</v>
      </c>
      <c r="X8" s="2" t="s">
        <v>13</v>
      </c>
    </row>
    <row r="9" spans="1:26" x14ac:dyDescent="0.2">
      <c r="B9" s="3">
        <v>5.8</v>
      </c>
      <c r="D9" s="3">
        <v>4</v>
      </c>
      <c r="E9" s="3">
        <v>7</v>
      </c>
      <c r="F9" s="3">
        <v>1</v>
      </c>
      <c r="N9" s="2" cm="1">
        <f t="array" ref="N9:P11">MMULT(TRANSPOSE(D8:F17),D8:F17)</f>
        <v>165</v>
      </c>
      <c r="O9" s="2">
        <v>322.25</v>
      </c>
      <c r="P9" s="2">
        <v>40</v>
      </c>
      <c r="R9" s="2" cm="1">
        <f t="array" ref="R9:T11">MINVERSE(_xlfn.ANCHORARRAY(N9))</f>
        <v>0.28379888268156728</v>
      </c>
      <c r="S9" s="2">
        <v>0.1117318435754209</v>
      </c>
      <c r="T9" s="2">
        <v>-2.0458100558659496</v>
      </c>
      <c r="V9" s="2" cm="1">
        <f t="array" ref="V9:V11">MMULT(TRANSPOSE(D8:F17),B8:B17)</f>
        <v>220</v>
      </c>
      <c r="X9" s="2" cm="1">
        <f t="array" ref="X9:X11">MMULT(_xlfn.ANCHORARRAY(R9),_xlfn.ANCHORARRAY(V9))</f>
        <v>2.0312849162011304</v>
      </c>
      <c r="Z9" s="2" t="s">
        <v>15</v>
      </c>
    </row>
    <row r="10" spans="1:26" x14ac:dyDescent="0.2">
      <c r="B10" s="3">
        <v>7</v>
      </c>
      <c r="D10" s="3">
        <v>5</v>
      </c>
      <c r="E10" s="3">
        <v>8</v>
      </c>
      <c r="F10" s="3">
        <v>1</v>
      </c>
      <c r="N10" s="2">
        <v>322.25</v>
      </c>
      <c r="O10" s="2">
        <v>673.75</v>
      </c>
      <c r="P10" s="2">
        <v>81.5</v>
      </c>
      <c r="R10" s="2">
        <v>0.1117318435754216</v>
      </c>
      <c r="S10" s="2">
        <v>0.14897579143389394</v>
      </c>
      <c r="T10" s="2">
        <v>-1.6610800744879222</v>
      </c>
      <c r="V10" s="2">
        <v>411.5</v>
      </c>
      <c r="X10" s="2">
        <v>-0.49162011173183373</v>
      </c>
      <c r="Z10" s="2" t="s">
        <v>16</v>
      </c>
    </row>
    <row r="11" spans="1:26" x14ac:dyDescent="0.2">
      <c r="B11" s="3">
        <v>7</v>
      </c>
      <c r="D11" s="3">
        <v>4.5</v>
      </c>
      <c r="E11" s="3">
        <v>6.5</v>
      </c>
      <c r="F11" s="3">
        <v>1</v>
      </c>
      <c r="N11" s="2">
        <v>40</v>
      </c>
      <c r="O11" s="2">
        <v>81.5</v>
      </c>
      <c r="P11" s="2">
        <v>10</v>
      </c>
      <c r="R11" s="2">
        <v>-2.0458100558659553</v>
      </c>
      <c r="S11" s="2">
        <v>-1.6610800744879193</v>
      </c>
      <c r="T11" s="2">
        <v>21.821042830540364</v>
      </c>
      <c r="V11" s="2">
        <v>52</v>
      </c>
      <c r="X11" s="2">
        <v>1.0815642458098864</v>
      </c>
      <c r="Z11" s="2" t="s">
        <v>17</v>
      </c>
    </row>
    <row r="12" spans="1:26" x14ac:dyDescent="0.2">
      <c r="B12" s="3">
        <v>2.8</v>
      </c>
      <c r="D12" s="3">
        <v>3</v>
      </c>
      <c r="E12" s="3">
        <v>8.5</v>
      </c>
      <c r="F12" s="3">
        <v>1</v>
      </c>
    </row>
    <row r="13" spans="1:26" x14ac:dyDescent="0.2">
      <c r="B13" s="3">
        <v>3.2</v>
      </c>
      <c r="D13" s="3">
        <v>3.5</v>
      </c>
      <c r="E13" s="3">
        <v>9</v>
      </c>
      <c r="F13" s="3">
        <v>1</v>
      </c>
    </row>
    <row r="14" spans="1:26" x14ac:dyDescent="0.2">
      <c r="B14" s="3">
        <v>2.8</v>
      </c>
      <c r="D14" s="3">
        <v>3</v>
      </c>
      <c r="E14" s="3">
        <v>10</v>
      </c>
      <c r="F14" s="3">
        <v>1</v>
      </c>
    </row>
    <row r="15" spans="1:26" x14ac:dyDescent="0.2">
      <c r="B15" s="3">
        <v>5.6</v>
      </c>
      <c r="D15" s="3">
        <v>4.5</v>
      </c>
      <c r="E15" s="3">
        <v>9</v>
      </c>
      <c r="F15" s="3">
        <v>1</v>
      </c>
    </row>
    <row r="16" spans="1:26" x14ac:dyDescent="0.2">
      <c r="B16" s="3">
        <v>8</v>
      </c>
      <c r="D16" s="3">
        <v>5</v>
      </c>
      <c r="E16" s="3">
        <v>7.5</v>
      </c>
      <c r="F16" s="3">
        <v>1</v>
      </c>
    </row>
    <row r="17" spans="2:6" x14ac:dyDescent="0.2">
      <c r="B17" s="3">
        <v>5.6</v>
      </c>
      <c r="D17" s="3">
        <v>4</v>
      </c>
      <c r="E17" s="3">
        <v>8</v>
      </c>
      <c r="F17" s="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19261-799E-F34E-AAFC-133B7359604C}">
  <dimension ref="A1:Z63"/>
  <sheetViews>
    <sheetView workbookViewId="0">
      <selection activeCell="F22" sqref="F22"/>
    </sheetView>
  </sheetViews>
  <sheetFormatPr baseColWidth="10" defaultRowHeight="16" x14ac:dyDescent="0.2"/>
  <cols>
    <col min="1" max="1" width="19.33203125" style="2" bestFit="1" customWidth="1"/>
    <col min="2" max="16384" width="10.83203125" style="2"/>
  </cols>
  <sheetData>
    <row r="1" spans="1:26" x14ac:dyDescent="0.2">
      <c r="A1" s="3" t="s">
        <v>0</v>
      </c>
      <c r="B1" s="3">
        <v>4.2</v>
      </c>
      <c r="C1" s="3">
        <v>5.8</v>
      </c>
      <c r="D1" s="3">
        <v>7</v>
      </c>
      <c r="E1" s="3">
        <v>7</v>
      </c>
      <c r="F1" s="3">
        <v>2.8</v>
      </c>
      <c r="G1" s="3">
        <v>3.2</v>
      </c>
      <c r="H1" s="3">
        <v>2.8</v>
      </c>
      <c r="I1" s="3">
        <v>5.6</v>
      </c>
      <c r="J1" s="3">
        <v>8</v>
      </c>
      <c r="K1" s="3">
        <v>5.6</v>
      </c>
      <c r="N1" s="1" t="s">
        <v>14</v>
      </c>
    </row>
    <row r="2" spans="1:26" x14ac:dyDescent="0.2">
      <c r="A2" s="3" t="s">
        <v>1</v>
      </c>
      <c r="B2" s="3">
        <v>3.5</v>
      </c>
      <c r="C2" s="3">
        <v>4</v>
      </c>
      <c r="D2" s="3">
        <v>5</v>
      </c>
      <c r="E2" s="3">
        <v>4.5</v>
      </c>
      <c r="F2" s="3">
        <v>3</v>
      </c>
      <c r="G2" s="3">
        <v>3.5</v>
      </c>
      <c r="H2" s="3">
        <v>3</v>
      </c>
      <c r="I2" s="3">
        <v>4.5</v>
      </c>
      <c r="J2" s="3">
        <v>5</v>
      </c>
      <c r="K2" s="3">
        <v>4</v>
      </c>
      <c r="N2" s="1" t="s">
        <v>3</v>
      </c>
    </row>
    <row r="3" spans="1:26" x14ac:dyDescent="0.2">
      <c r="A3" s="3" t="s">
        <v>2</v>
      </c>
      <c r="B3" s="3">
        <v>8</v>
      </c>
      <c r="C3" s="3">
        <v>7</v>
      </c>
      <c r="D3" s="3">
        <v>8</v>
      </c>
      <c r="E3" s="3">
        <v>6.5</v>
      </c>
      <c r="F3" s="3">
        <v>8.5</v>
      </c>
      <c r="G3" s="3">
        <v>9</v>
      </c>
      <c r="H3" s="3">
        <v>10</v>
      </c>
      <c r="I3" s="3">
        <v>9</v>
      </c>
      <c r="J3" s="3">
        <v>7.5</v>
      </c>
      <c r="K3" s="3">
        <v>8</v>
      </c>
    </row>
    <row r="6" spans="1:26" x14ac:dyDescent="0.2">
      <c r="B6" s="2" t="s">
        <v>4</v>
      </c>
      <c r="D6" s="2" t="s">
        <v>5</v>
      </c>
      <c r="N6" s="2" t="s">
        <v>9</v>
      </c>
    </row>
    <row r="7" spans="1:26" x14ac:dyDescent="0.2">
      <c r="D7" s="2" t="s">
        <v>6</v>
      </c>
      <c r="E7" s="2" t="s">
        <v>7</v>
      </c>
      <c r="F7" s="2" t="s">
        <v>8</v>
      </c>
    </row>
    <row r="8" spans="1:26" x14ac:dyDescent="0.2">
      <c r="B8" s="3">
        <v>4.2</v>
      </c>
      <c r="D8" s="3">
        <v>3.5</v>
      </c>
      <c r="E8" s="3">
        <v>8</v>
      </c>
      <c r="F8" s="3">
        <v>1</v>
      </c>
      <c r="N8" s="2" t="s">
        <v>10</v>
      </c>
      <c r="R8" s="2" t="s">
        <v>11</v>
      </c>
      <c r="V8" s="2" t="s">
        <v>12</v>
      </c>
      <c r="X8" s="2" t="s">
        <v>13</v>
      </c>
    </row>
    <row r="9" spans="1:26" x14ac:dyDescent="0.2">
      <c r="B9" s="3">
        <v>5.8</v>
      </c>
      <c r="D9" s="3">
        <v>4</v>
      </c>
      <c r="E9" s="3">
        <v>7</v>
      </c>
      <c r="F9" s="3">
        <v>1</v>
      </c>
      <c r="N9" s="2" cm="1">
        <f t="array" ref="N9:P11">MMULT(TRANSPOSE(D8:F17),D8:F17)</f>
        <v>165</v>
      </c>
      <c r="O9" s="2">
        <v>322.25</v>
      </c>
      <c r="P9" s="2">
        <v>40</v>
      </c>
      <c r="R9" s="2" cm="1">
        <f t="array" ref="R9:T11">MINVERSE(_xlfn.ANCHORARRAY(N9))</f>
        <v>0.28379888268156728</v>
      </c>
      <c r="S9" s="2">
        <v>0.1117318435754209</v>
      </c>
      <c r="T9" s="2">
        <v>-2.0458100558659496</v>
      </c>
      <c r="V9" s="2" cm="1">
        <f t="array" ref="V9:V11">MMULT(TRANSPOSE(D8:F17),B8:B17)</f>
        <v>220</v>
      </c>
      <c r="X9" s="2" cm="1">
        <f t="array" ref="X9:X11">MMULT(_xlfn.ANCHORARRAY(R9),_xlfn.ANCHORARRAY(V9))</f>
        <v>2.0312849162011304</v>
      </c>
      <c r="Z9" s="2" t="s">
        <v>15</v>
      </c>
    </row>
    <row r="10" spans="1:26" x14ac:dyDescent="0.2">
      <c r="B10" s="3">
        <v>7</v>
      </c>
      <c r="D10" s="3">
        <v>5</v>
      </c>
      <c r="E10" s="3">
        <v>8</v>
      </c>
      <c r="F10" s="3">
        <v>1</v>
      </c>
      <c r="N10" s="2">
        <v>322.25</v>
      </c>
      <c r="O10" s="2">
        <v>673.75</v>
      </c>
      <c r="P10" s="2">
        <v>81.5</v>
      </c>
      <c r="R10" s="2">
        <v>0.1117318435754216</v>
      </c>
      <c r="S10" s="2">
        <v>0.14897579143389394</v>
      </c>
      <c r="T10" s="2">
        <v>-1.6610800744879222</v>
      </c>
      <c r="V10" s="2">
        <v>411.5</v>
      </c>
      <c r="X10" s="2">
        <v>-0.49162011173183373</v>
      </c>
      <c r="Z10" s="2" t="s">
        <v>16</v>
      </c>
    </row>
    <row r="11" spans="1:26" x14ac:dyDescent="0.2">
      <c r="B11" s="3">
        <v>7</v>
      </c>
      <c r="D11" s="3">
        <v>4.5</v>
      </c>
      <c r="E11" s="3">
        <v>6.5</v>
      </c>
      <c r="F11" s="3">
        <v>1</v>
      </c>
      <c r="N11" s="2">
        <v>40</v>
      </c>
      <c r="O11" s="2">
        <v>81.5</v>
      </c>
      <c r="P11" s="2">
        <v>10</v>
      </c>
      <c r="R11" s="2">
        <v>-2.0458100558659553</v>
      </c>
      <c r="S11" s="2">
        <v>-1.6610800744879193</v>
      </c>
      <c r="T11" s="2">
        <v>21.821042830540364</v>
      </c>
      <c r="V11" s="2">
        <v>52</v>
      </c>
      <c r="X11" s="2">
        <v>1.0815642458098864</v>
      </c>
      <c r="Z11" s="2" t="s">
        <v>17</v>
      </c>
    </row>
    <row r="12" spans="1:26" x14ac:dyDescent="0.2">
      <c r="B12" s="3">
        <v>2.8</v>
      </c>
      <c r="D12" s="3">
        <v>3</v>
      </c>
      <c r="E12" s="3">
        <v>8.5</v>
      </c>
      <c r="F12" s="3">
        <v>1</v>
      </c>
    </row>
    <row r="13" spans="1:26" x14ac:dyDescent="0.2">
      <c r="B13" s="3">
        <v>3.2</v>
      </c>
      <c r="D13" s="3">
        <v>3.5</v>
      </c>
      <c r="E13" s="3">
        <v>9</v>
      </c>
      <c r="F13" s="3">
        <v>1</v>
      </c>
    </row>
    <row r="14" spans="1:26" x14ac:dyDescent="0.2">
      <c r="B14" s="3">
        <v>2.8</v>
      </c>
      <c r="D14" s="3">
        <v>3</v>
      </c>
      <c r="E14" s="3">
        <v>10</v>
      </c>
      <c r="F14" s="3">
        <v>1</v>
      </c>
    </row>
    <row r="15" spans="1:26" x14ac:dyDescent="0.2">
      <c r="B15" s="3">
        <v>5.6</v>
      </c>
      <c r="D15" s="3">
        <v>4.5</v>
      </c>
      <c r="E15" s="3">
        <v>9</v>
      </c>
      <c r="F15" s="3">
        <v>1</v>
      </c>
    </row>
    <row r="16" spans="1:26" x14ac:dyDescent="0.2">
      <c r="B16" s="3">
        <v>8</v>
      </c>
      <c r="D16" s="3">
        <v>5</v>
      </c>
      <c r="E16" s="3">
        <v>7.5</v>
      </c>
      <c r="F16" s="3">
        <v>1</v>
      </c>
    </row>
    <row r="17" spans="1:16" x14ac:dyDescent="0.2">
      <c r="B17" s="3">
        <v>5.6</v>
      </c>
      <c r="D17" s="3">
        <v>4</v>
      </c>
      <c r="E17" s="3">
        <v>8</v>
      </c>
      <c r="F17" s="3">
        <v>1</v>
      </c>
    </row>
    <row r="19" spans="1:16" s="6" customFormat="1" x14ac:dyDescent="0.2">
      <c r="A19" s="6" t="s">
        <v>39</v>
      </c>
    </row>
    <row r="20" spans="1:16" x14ac:dyDescent="0.2">
      <c r="L20" s="2" t="s">
        <v>42</v>
      </c>
      <c r="N20" s="2" t="s">
        <v>40</v>
      </c>
      <c r="P20" s="2" t="s">
        <v>41</v>
      </c>
    </row>
    <row r="21" spans="1:16" x14ac:dyDescent="0.2">
      <c r="B21" s="2" t="s">
        <v>43</v>
      </c>
      <c r="C21" s="2">
        <f>N21-(1/L21)*P21^2</f>
        <v>31.519999999999982</v>
      </c>
      <c r="L21" s="2">
        <v>10</v>
      </c>
      <c r="N21" s="2" cm="1">
        <f t="array" ref="N21">MMULT(TRANSPOSE(B8:B17),B8:B17)</f>
        <v>301.92</v>
      </c>
      <c r="P21" s="2" cm="1">
        <f t="array" ref="P21">MMULT(TRANSPOSE(F8:F17),B8:B17)</f>
        <v>52</v>
      </c>
    </row>
    <row r="23" spans="1:16" x14ac:dyDescent="0.2">
      <c r="B23" s="2" t="s">
        <v>44</v>
      </c>
      <c r="C23" s="2" cm="1">
        <f t="array" ref="C23">N21-MMULT(TRANSPOSE(_xlfn.ANCHORARRAY(X9)),_xlfn.ANCHORARRAY(V9))</f>
        <v>1.0976536312868461</v>
      </c>
    </row>
    <row r="25" spans="1:16" x14ac:dyDescent="0.2">
      <c r="B25" s="2" t="s">
        <v>45</v>
      </c>
      <c r="C25" s="2">
        <f>C21-C23</f>
        <v>30.422346368713136</v>
      </c>
    </row>
    <row r="27" spans="1:16" x14ac:dyDescent="0.2">
      <c r="B27" s="2" t="s">
        <v>46</v>
      </c>
      <c r="C27" s="2">
        <f>C25/C21</f>
        <v>0.96517596347440204</v>
      </c>
    </row>
    <row r="29" spans="1:16" s="6" customFormat="1" x14ac:dyDescent="0.2">
      <c r="A29" s="6" t="s">
        <v>49</v>
      </c>
    </row>
    <row r="31" spans="1:16" x14ac:dyDescent="0.2">
      <c r="B31" s="5" t="s">
        <v>54</v>
      </c>
      <c r="C31" s="8">
        <f>I32/I34</f>
        <v>7.6151821460168814E-2</v>
      </c>
      <c r="H31" s="2" t="s">
        <v>50</v>
      </c>
      <c r="L31" s="2" t="s">
        <v>52</v>
      </c>
    </row>
    <row r="32" spans="1:16" x14ac:dyDescent="0.2">
      <c r="H32" s="2" t="s">
        <v>51</v>
      </c>
      <c r="I32" s="2">
        <f>SQRT(C23/(L21-L32))</f>
        <v>0.39598947159287784</v>
      </c>
      <c r="L32" s="2">
        <v>3</v>
      </c>
    </row>
    <row r="34" spans="1:9" x14ac:dyDescent="0.2">
      <c r="H34" s="2" t="s">
        <v>53</v>
      </c>
      <c r="I34" s="2">
        <f>AVERAGE(B8:B17)</f>
        <v>5.2</v>
      </c>
    </row>
    <row r="37" spans="1:9" s="6" customFormat="1" x14ac:dyDescent="0.2">
      <c r="A37" s="6" t="s">
        <v>57</v>
      </c>
    </row>
    <row r="38" spans="1:9" x14ac:dyDescent="0.2">
      <c r="B38" s="2" t="s">
        <v>58</v>
      </c>
      <c r="C38" s="2">
        <f>I32*SQRT(R9)</f>
        <v>0.21095459028309926</v>
      </c>
      <c r="E38" s="2" t="s">
        <v>60</v>
      </c>
      <c r="F38" s="2">
        <f>I32*SQRT(S10)</f>
        <v>0.15284156990690231</v>
      </c>
    </row>
    <row r="39" spans="1:9" x14ac:dyDescent="0.2">
      <c r="B39" s="2" t="s">
        <v>59</v>
      </c>
      <c r="C39" s="2">
        <f>X9/C38</f>
        <v>9.6290150097002556</v>
      </c>
      <c r="E39" s="2" t="s">
        <v>61</v>
      </c>
      <c r="F39" s="2">
        <f>X10/F38</f>
        <v>-3.2165340360694121</v>
      </c>
    </row>
    <row r="41" spans="1:9" x14ac:dyDescent="0.2">
      <c r="B41" s="2" t="s">
        <v>62</v>
      </c>
    </row>
    <row r="42" spans="1:9" x14ac:dyDescent="0.2">
      <c r="B42" s="2" t="s">
        <v>63</v>
      </c>
      <c r="C42" s="2">
        <v>0.05</v>
      </c>
    </row>
    <row r="43" spans="1:9" x14ac:dyDescent="0.2">
      <c r="B43" s="2" t="s">
        <v>64</v>
      </c>
      <c r="C43" s="2">
        <f>L21-L32</f>
        <v>7</v>
      </c>
    </row>
    <row r="44" spans="1:9" x14ac:dyDescent="0.2">
      <c r="B44" s="2" t="s">
        <v>65</v>
      </c>
      <c r="C44" s="5">
        <f>_xlfn.T.INV.2T(C42,C43)</f>
        <v>2.3646242515927849</v>
      </c>
    </row>
    <row r="46" spans="1:9" x14ac:dyDescent="0.2">
      <c r="B46" s="2" t="s">
        <v>66</v>
      </c>
    </row>
    <row r="47" spans="1:9" x14ac:dyDescent="0.2">
      <c r="B47" s="2" t="s">
        <v>67</v>
      </c>
      <c r="C47" s="2">
        <f>ABS(C39)</f>
        <v>9.6290150097002556</v>
      </c>
      <c r="E47" s="2" t="s">
        <v>68</v>
      </c>
      <c r="F47" s="2">
        <f>ABS(F39)</f>
        <v>3.2165340360694121</v>
      </c>
      <c r="H47" s="2" t="s">
        <v>69</v>
      </c>
    </row>
    <row r="50" spans="1:6" s="6" customFormat="1" x14ac:dyDescent="0.2">
      <c r="A50" s="6" t="s">
        <v>70</v>
      </c>
    </row>
    <row r="52" spans="1:6" x14ac:dyDescent="0.2">
      <c r="B52" s="2" t="s">
        <v>71</v>
      </c>
    </row>
    <row r="54" spans="1:6" x14ac:dyDescent="0.2">
      <c r="B54" s="2" t="s">
        <v>72</v>
      </c>
      <c r="C54" s="2">
        <v>0.95</v>
      </c>
      <c r="E54" s="2" t="s">
        <v>73</v>
      </c>
      <c r="F54" s="2">
        <v>0.05</v>
      </c>
    </row>
    <row r="55" spans="1:6" x14ac:dyDescent="0.2">
      <c r="B55" s="2" t="s">
        <v>74</v>
      </c>
      <c r="C55" s="2">
        <v>7</v>
      </c>
    </row>
    <row r="56" spans="1:6" x14ac:dyDescent="0.2">
      <c r="B56" s="2" t="s">
        <v>75</v>
      </c>
      <c r="C56" s="5">
        <f>_xlfn.T.INV.2T(F54,C55)</f>
        <v>2.3646242515927849</v>
      </c>
    </row>
    <row r="59" spans="1:6" x14ac:dyDescent="0.2">
      <c r="B59" s="2" t="s">
        <v>76</v>
      </c>
      <c r="C59" s="2">
        <f>C38*C56</f>
        <v>0.49882834016823618</v>
      </c>
      <c r="E59" s="2" t="s">
        <v>77</v>
      </c>
      <c r="F59" s="2">
        <f>F38*C56</f>
        <v>0.36141288285337519</v>
      </c>
    </row>
    <row r="61" spans="1:6" x14ac:dyDescent="0.2">
      <c r="B61" s="2" t="s">
        <v>78</v>
      </c>
    </row>
    <row r="62" spans="1:6" x14ac:dyDescent="0.2">
      <c r="B62" s="2" t="s">
        <v>79</v>
      </c>
      <c r="C62" s="2">
        <f>X9-C59</f>
        <v>1.5324565760328941</v>
      </c>
      <c r="F62" s="2">
        <f>X10-F59</f>
        <v>-0.85303299458520887</v>
      </c>
    </row>
    <row r="63" spans="1:6" x14ac:dyDescent="0.2">
      <c r="B63" s="2" t="s">
        <v>80</v>
      </c>
      <c r="C63" s="2">
        <f>X9+C59</f>
        <v>2.5301132563693667</v>
      </c>
      <c r="F63" s="2">
        <f>X10+F59</f>
        <v>-0.13020722887845854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B7AF-917B-C440-B7D6-56E308B287D9}">
  <dimension ref="A1:N58"/>
  <sheetViews>
    <sheetView workbookViewId="0">
      <selection activeCell="L36" sqref="L36"/>
    </sheetView>
  </sheetViews>
  <sheetFormatPr baseColWidth="10" defaultRowHeight="16" x14ac:dyDescent="0.2"/>
  <cols>
    <col min="1" max="1" width="5.1640625" style="2" bestFit="1" customWidth="1"/>
    <col min="2" max="2" width="30.1640625" style="2" bestFit="1" customWidth="1"/>
    <col min="3" max="16384" width="10.83203125" style="2"/>
  </cols>
  <sheetData>
    <row r="1" spans="1:14" s="6" customFormat="1" x14ac:dyDescent="0.2">
      <c r="B1" s="6" t="s">
        <v>107</v>
      </c>
    </row>
    <row r="3" spans="1:14" x14ac:dyDescent="0.2">
      <c r="A3" s="4" t="s">
        <v>18</v>
      </c>
      <c r="B3" s="4" t="s">
        <v>19</v>
      </c>
      <c r="C3" s="4" t="s">
        <v>20</v>
      </c>
      <c r="D3" s="3" t="s">
        <v>85</v>
      </c>
      <c r="E3" s="3" t="s">
        <v>86</v>
      </c>
      <c r="F3" s="3" t="s">
        <v>87</v>
      </c>
      <c r="G3" s="3" t="s">
        <v>88</v>
      </c>
      <c r="H3" s="3" t="s">
        <v>89</v>
      </c>
      <c r="I3" s="3"/>
      <c r="J3" s="3"/>
      <c r="K3" s="2" t="s">
        <v>84</v>
      </c>
      <c r="L3" s="2">
        <v>0.37165399999999998</v>
      </c>
      <c r="N3" s="1"/>
    </row>
    <row r="4" spans="1:14" x14ac:dyDescent="0.2">
      <c r="A4" s="3">
        <v>2000</v>
      </c>
      <c r="B4" s="3">
        <v>14</v>
      </c>
      <c r="C4" s="3">
        <v>1</v>
      </c>
      <c r="D4" s="3">
        <f t="shared" ref="D4:D23" si="0">$L$3*C4+$L$4</f>
        <v>13.894283999999999</v>
      </c>
      <c r="E4" s="3">
        <f>B4-D4</f>
        <v>0.10571600000000103</v>
      </c>
      <c r="F4" s="3">
        <f>E4^2</f>
        <v>1.1175872656000218E-2</v>
      </c>
      <c r="G4" s="3">
        <f>E4^3</f>
        <v>1.1814685537017305E-3</v>
      </c>
      <c r="H4" s="3">
        <f>E4^4</f>
        <v>1.2490012962313335E-4</v>
      </c>
      <c r="I4" s="3"/>
      <c r="J4" s="3"/>
      <c r="L4" s="2">
        <v>13.522629999999999</v>
      </c>
      <c r="N4" s="1"/>
    </row>
    <row r="5" spans="1:14" x14ac:dyDescent="0.2">
      <c r="A5" s="3">
        <v>2001</v>
      </c>
      <c r="B5" s="3">
        <v>14.9</v>
      </c>
      <c r="C5" s="3">
        <v>2</v>
      </c>
      <c r="D5" s="3">
        <f t="shared" si="0"/>
        <v>14.265938</v>
      </c>
      <c r="E5" s="3">
        <f t="shared" ref="E5:E23" si="1">B5-D5</f>
        <v>0.63406200000000013</v>
      </c>
      <c r="F5" s="3">
        <f t="shared" ref="F5:F23" si="2">E5^2</f>
        <v>0.40203461984400019</v>
      </c>
      <c r="G5" s="3">
        <f t="shared" ref="G5:G23" si="3">E5^3</f>
        <v>0.25491487512752647</v>
      </c>
      <c r="H5" s="3">
        <f t="shared" ref="H5:H23" si="4">E5^4</f>
        <v>0.16163183555310975</v>
      </c>
      <c r="I5" s="3"/>
      <c r="J5" s="3"/>
      <c r="K5" s="3"/>
    </row>
    <row r="6" spans="1:14" x14ac:dyDescent="0.2">
      <c r="A6" s="3">
        <v>2002</v>
      </c>
      <c r="B6" s="3">
        <v>14.5</v>
      </c>
      <c r="C6" s="3">
        <v>3</v>
      </c>
      <c r="D6" s="3">
        <f t="shared" si="0"/>
        <v>14.637592</v>
      </c>
      <c r="E6" s="3">
        <f t="shared" si="1"/>
        <v>-0.13759199999999971</v>
      </c>
      <c r="F6" s="3">
        <f t="shared" si="2"/>
        <v>1.8931558463999923E-2</v>
      </c>
      <c r="G6" s="3">
        <f t="shared" si="3"/>
        <v>-2.6048309921786719E-3</v>
      </c>
      <c r="H6" s="3">
        <f t="shared" si="4"/>
        <v>3.5840390587584713E-4</v>
      </c>
    </row>
    <row r="7" spans="1:14" x14ac:dyDescent="0.2">
      <c r="A7" s="3">
        <v>2003</v>
      </c>
      <c r="B7" s="3">
        <v>15.3</v>
      </c>
      <c r="C7" s="3">
        <v>4</v>
      </c>
      <c r="D7" s="3">
        <f t="shared" si="0"/>
        <v>15.009245999999999</v>
      </c>
      <c r="E7" s="3">
        <f t="shared" si="1"/>
        <v>0.29075400000000151</v>
      </c>
      <c r="F7" s="3">
        <f t="shared" si="2"/>
        <v>8.4537888516000873E-2</v>
      </c>
      <c r="G7" s="3">
        <f t="shared" si="3"/>
        <v>2.4579729237581446E-2</v>
      </c>
      <c r="H7" s="3">
        <f t="shared" si="4"/>
        <v>7.1466545947437921E-3</v>
      </c>
      <c r="K7" s="2" t="s">
        <v>90</v>
      </c>
      <c r="L7" s="2">
        <f>(1/20*G24)/SQRT(1/20*F24)^3</f>
        <v>0.29174364836398492</v>
      </c>
      <c r="N7" s="2" t="s">
        <v>91</v>
      </c>
    </row>
    <row r="8" spans="1:14" x14ac:dyDescent="0.2">
      <c r="A8" s="3">
        <v>2004</v>
      </c>
      <c r="B8" s="3">
        <v>15.3</v>
      </c>
      <c r="C8" s="3">
        <v>5</v>
      </c>
      <c r="D8" s="3">
        <f t="shared" si="0"/>
        <v>15.380899999999999</v>
      </c>
      <c r="E8" s="3">
        <f t="shared" si="1"/>
        <v>-8.0899999999997974E-2</v>
      </c>
      <c r="F8" s="3">
        <f t="shared" si="2"/>
        <v>6.544809999999672E-3</v>
      </c>
      <c r="G8" s="3">
        <f t="shared" si="3"/>
        <v>-5.2947512899996019E-4</v>
      </c>
      <c r="H8" s="3">
        <f t="shared" si="4"/>
        <v>4.283453793609571E-5</v>
      </c>
    </row>
    <row r="9" spans="1:14" x14ac:dyDescent="0.2">
      <c r="A9" s="3">
        <v>2005</v>
      </c>
      <c r="B9" s="3">
        <v>15.2</v>
      </c>
      <c r="C9" s="3">
        <v>6</v>
      </c>
      <c r="D9" s="3">
        <f t="shared" si="0"/>
        <v>15.752554</v>
      </c>
      <c r="E9" s="3">
        <f t="shared" si="1"/>
        <v>-0.55255400000000066</v>
      </c>
      <c r="F9" s="3">
        <f t="shared" si="2"/>
        <v>0.30531592291600074</v>
      </c>
      <c r="G9" s="3">
        <f t="shared" si="3"/>
        <v>-0.16870353447092806</v>
      </c>
      <c r="H9" s="3">
        <f t="shared" si="4"/>
        <v>9.3217812786049306E-2</v>
      </c>
      <c r="K9" s="2" t="s">
        <v>93</v>
      </c>
      <c r="L9" s="2">
        <f>(1/20*H24)/(SQRT(1/20*F24))^4</f>
        <v>3.0944291357101363</v>
      </c>
      <c r="N9" s="2" t="s">
        <v>92</v>
      </c>
    </row>
    <row r="10" spans="1:14" x14ac:dyDescent="0.2">
      <c r="A10" s="3">
        <v>2006</v>
      </c>
      <c r="B10" s="3">
        <v>15.8</v>
      </c>
      <c r="C10" s="3">
        <v>7</v>
      </c>
      <c r="D10" s="3">
        <f t="shared" si="0"/>
        <v>16.124207999999999</v>
      </c>
      <c r="E10" s="3">
        <f t="shared" si="1"/>
        <v>-0.32420799999999872</v>
      </c>
      <c r="F10" s="3">
        <f t="shared" si="2"/>
        <v>0.10511082726399917</v>
      </c>
      <c r="G10" s="3">
        <f t="shared" si="3"/>
        <v>-3.4077771085606508E-2</v>
      </c>
      <c r="H10" s="3">
        <f t="shared" si="4"/>
        <v>1.1048286008122273E-2</v>
      </c>
    </row>
    <row r="11" spans="1:14" x14ac:dyDescent="0.2">
      <c r="A11" s="3">
        <v>2007</v>
      </c>
      <c r="B11" s="3">
        <v>16.5</v>
      </c>
      <c r="C11" s="3">
        <v>8</v>
      </c>
      <c r="D11" s="3">
        <f t="shared" si="0"/>
        <v>16.495861999999999</v>
      </c>
      <c r="E11" s="3">
        <f t="shared" si="1"/>
        <v>4.1380000000010853E-3</v>
      </c>
      <c r="F11" s="3">
        <f t="shared" si="2"/>
        <v>1.7123044000008981E-5</v>
      </c>
      <c r="G11" s="3">
        <f t="shared" si="3"/>
        <v>7.0855156072055748E-8</v>
      </c>
      <c r="H11" s="3">
        <f t="shared" si="4"/>
        <v>2.9319863582624357E-10</v>
      </c>
      <c r="K11" s="2" t="s">
        <v>94</v>
      </c>
      <c r="L11" s="2">
        <f>20/6*(L7^2+1/4*(L9-3)^2)</f>
        <v>0.29114523926156438</v>
      </c>
      <c r="N11" s="2" t="s">
        <v>95</v>
      </c>
    </row>
    <row r="12" spans="1:14" x14ac:dyDescent="0.2">
      <c r="A12" s="3">
        <v>2008</v>
      </c>
      <c r="B12" s="3">
        <v>16.600000000000001</v>
      </c>
      <c r="C12" s="3">
        <v>9</v>
      </c>
      <c r="D12" s="3">
        <f t="shared" si="0"/>
        <v>16.867515999999998</v>
      </c>
      <c r="E12" s="3">
        <f t="shared" si="1"/>
        <v>-0.26751599999999698</v>
      </c>
      <c r="F12" s="3">
        <f t="shared" si="2"/>
        <v>7.1564810255998382E-2</v>
      </c>
      <c r="G12" s="3">
        <f t="shared" si="3"/>
        <v>-1.9144731780443448E-2</v>
      </c>
      <c r="H12" s="3">
        <f t="shared" si="4"/>
        <v>5.1215220669770514E-3</v>
      </c>
    </row>
    <row r="13" spans="1:14" x14ac:dyDescent="0.2">
      <c r="A13" s="3">
        <v>2009</v>
      </c>
      <c r="B13" s="3">
        <v>17</v>
      </c>
      <c r="C13" s="3">
        <v>10</v>
      </c>
      <c r="D13" s="3">
        <f t="shared" si="0"/>
        <v>17.239169999999998</v>
      </c>
      <c r="E13" s="3">
        <f t="shared" si="1"/>
        <v>-0.23916999999999788</v>
      </c>
      <c r="F13" s="3">
        <f t="shared" si="2"/>
        <v>5.7202288899998989E-2</v>
      </c>
      <c r="G13" s="3">
        <f t="shared" si="3"/>
        <v>-1.3681071436212637E-2</v>
      </c>
      <c r="H13" s="3">
        <f t="shared" si="4"/>
        <v>3.2721018553989473E-3</v>
      </c>
      <c r="K13" s="2" t="s">
        <v>7</v>
      </c>
      <c r="L13" s="2">
        <f>_xlfn.CHISQ.INV.RT(0.05,2)</f>
        <v>5.9914645471079817</v>
      </c>
      <c r="N13" s="2" t="s">
        <v>96</v>
      </c>
    </row>
    <row r="14" spans="1:14" x14ac:dyDescent="0.2">
      <c r="A14" s="3">
        <v>2010</v>
      </c>
      <c r="B14" s="3">
        <v>17.7</v>
      </c>
      <c r="C14" s="3">
        <v>11</v>
      </c>
      <c r="D14" s="3">
        <f t="shared" si="0"/>
        <v>17.610824000000001</v>
      </c>
      <c r="E14" s="3">
        <f t="shared" si="1"/>
        <v>8.9175999999998368E-2</v>
      </c>
      <c r="F14" s="3">
        <f t="shared" si="2"/>
        <v>7.9523589759997095E-3</v>
      </c>
      <c r="G14" s="3">
        <f t="shared" si="3"/>
        <v>7.0915956404373707E-4</v>
      </c>
      <c r="H14" s="3">
        <f t="shared" si="4"/>
        <v>6.3240013283163155E-5</v>
      </c>
    </row>
    <row r="15" spans="1:14" x14ac:dyDescent="0.2">
      <c r="A15" s="3">
        <v>2011</v>
      </c>
      <c r="B15" s="3">
        <v>17.7</v>
      </c>
      <c r="C15" s="3">
        <v>12</v>
      </c>
      <c r="D15" s="3">
        <f t="shared" si="0"/>
        <v>17.982478</v>
      </c>
      <c r="E15" s="3">
        <f t="shared" si="1"/>
        <v>-0.28247800000000112</v>
      </c>
      <c r="F15" s="3">
        <f t="shared" si="2"/>
        <v>7.9793820484000633E-2</v>
      </c>
      <c r="G15" s="3">
        <f t="shared" si="3"/>
        <v>-2.2539998822679621E-2</v>
      </c>
      <c r="H15" s="3">
        <f t="shared" si="4"/>
        <v>6.3670537874329193E-3</v>
      </c>
    </row>
    <row r="16" spans="1:14" x14ac:dyDescent="0.2">
      <c r="A16" s="3">
        <v>2012</v>
      </c>
      <c r="B16" s="3">
        <v>18.8</v>
      </c>
      <c r="C16" s="3">
        <v>13</v>
      </c>
      <c r="D16" s="3">
        <f t="shared" si="0"/>
        <v>18.354132</v>
      </c>
      <c r="E16" s="3">
        <f t="shared" si="1"/>
        <v>0.44586800000000082</v>
      </c>
      <c r="F16" s="3">
        <f t="shared" si="2"/>
        <v>0.19879827342400072</v>
      </c>
      <c r="G16" s="3">
        <f t="shared" si="3"/>
        <v>8.8637788575012519E-2</v>
      </c>
      <c r="H16" s="3">
        <f t="shared" si="4"/>
        <v>3.9520753516363749E-2</v>
      </c>
    </row>
    <row r="17" spans="1:8" x14ac:dyDescent="0.2">
      <c r="A17" s="3">
        <v>2013</v>
      </c>
      <c r="B17" s="3">
        <v>18.7</v>
      </c>
      <c r="C17" s="3">
        <v>14</v>
      </c>
      <c r="D17" s="3">
        <f t="shared" si="0"/>
        <v>18.725785999999999</v>
      </c>
      <c r="E17" s="3">
        <f t="shared" si="1"/>
        <v>-2.5786000000000087E-2</v>
      </c>
      <c r="F17" s="3">
        <f t="shared" si="2"/>
        <v>6.6491779600000452E-4</v>
      </c>
      <c r="G17" s="3">
        <f t="shared" si="3"/>
        <v>-1.7145570287656175E-5</v>
      </c>
      <c r="H17" s="3">
        <f t="shared" si="4"/>
        <v>4.4211567543750361E-7</v>
      </c>
    </row>
    <row r="18" spans="1:8" x14ac:dyDescent="0.2">
      <c r="A18" s="3">
        <v>2014</v>
      </c>
      <c r="B18" s="3">
        <v>19.100000000000001</v>
      </c>
      <c r="C18" s="3">
        <v>15</v>
      </c>
      <c r="D18" s="3">
        <f t="shared" si="0"/>
        <v>19.097439999999999</v>
      </c>
      <c r="E18" s="3">
        <f t="shared" si="1"/>
        <v>2.5600000000025602E-3</v>
      </c>
      <c r="F18" s="3">
        <f t="shared" si="2"/>
        <v>6.5536000000131081E-6</v>
      </c>
      <c r="G18" s="3">
        <f t="shared" si="3"/>
        <v>1.6777216000050337E-8</v>
      </c>
      <c r="H18" s="3">
        <f t="shared" si="4"/>
        <v>4.2949672960171812E-11</v>
      </c>
    </row>
    <row r="19" spans="1:8" x14ac:dyDescent="0.2">
      <c r="A19" s="3">
        <v>2015</v>
      </c>
      <c r="B19" s="3">
        <v>19.600000000000001</v>
      </c>
      <c r="C19" s="3">
        <v>16</v>
      </c>
      <c r="D19" s="3">
        <f t="shared" si="0"/>
        <v>19.469093999999998</v>
      </c>
      <c r="E19" s="3">
        <f t="shared" si="1"/>
        <v>0.13090600000000308</v>
      </c>
      <c r="F19" s="3">
        <f t="shared" si="2"/>
        <v>1.7136380836000806E-2</v>
      </c>
      <c r="G19" s="3">
        <f t="shared" si="3"/>
        <v>2.2432550697175742E-3</v>
      </c>
      <c r="H19" s="3">
        <f t="shared" si="4"/>
        <v>2.936555481564557E-4</v>
      </c>
    </row>
    <row r="20" spans="1:8" x14ac:dyDescent="0.2">
      <c r="A20" s="3">
        <v>2016</v>
      </c>
      <c r="B20" s="3">
        <v>20</v>
      </c>
      <c r="C20" s="3">
        <v>17</v>
      </c>
      <c r="D20" s="3">
        <f t="shared" si="0"/>
        <v>19.840747999999998</v>
      </c>
      <c r="E20" s="3">
        <f t="shared" si="1"/>
        <v>0.15925200000000217</v>
      </c>
      <c r="F20" s="3">
        <f t="shared" si="2"/>
        <v>2.5361199504000689E-2</v>
      </c>
      <c r="G20" s="3">
        <f t="shared" si="3"/>
        <v>4.0388217434111726E-3</v>
      </c>
      <c r="H20" s="3">
        <f t="shared" si="4"/>
        <v>6.4319044028172479E-4</v>
      </c>
    </row>
    <row r="21" spans="1:8" x14ac:dyDescent="0.2">
      <c r="A21" s="3">
        <v>2017</v>
      </c>
      <c r="B21" s="3">
        <v>20.399999999999999</v>
      </c>
      <c r="C21" s="3">
        <v>18</v>
      </c>
      <c r="D21" s="3">
        <f t="shared" si="0"/>
        <v>20.212401999999997</v>
      </c>
      <c r="E21" s="3">
        <f t="shared" si="1"/>
        <v>0.18759800000000126</v>
      </c>
      <c r="F21" s="3">
        <f t="shared" si="2"/>
        <v>3.5193009604000472E-2</v>
      </c>
      <c r="G21" s="3">
        <f t="shared" si="3"/>
        <v>6.6021382156913246E-3</v>
      </c>
      <c r="H21" s="3">
        <f t="shared" si="4"/>
        <v>1.2385479249872695E-3</v>
      </c>
    </row>
    <row r="22" spans="1:8" x14ac:dyDescent="0.2">
      <c r="A22" s="3">
        <v>2018</v>
      </c>
      <c r="B22" s="3">
        <v>20.399999999999999</v>
      </c>
      <c r="C22" s="3">
        <v>19</v>
      </c>
      <c r="D22" s="3">
        <f t="shared" si="0"/>
        <v>20.584056</v>
      </c>
      <c r="E22" s="3">
        <f t="shared" si="1"/>
        <v>-0.18405600000000177</v>
      </c>
      <c r="F22" s="3">
        <f t="shared" si="2"/>
        <v>3.3876611136000656E-2</v>
      </c>
      <c r="G22" s="3">
        <f t="shared" si="3"/>
        <v>-6.2351935392477966E-3</v>
      </c>
      <c r="H22" s="3">
        <f t="shared" si="4"/>
        <v>1.1476247820598037E-3</v>
      </c>
    </row>
    <row r="23" spans="1:8" x14ac:dyDescent="0.2">
      <c r="A23" s="3">
        <v>2019</v>
      </c>
      <c r="B23" s="3">
        <v>21</v>
      </c>
      <c r="C23" s="3">
        <v>20</v>
      </c>
      <c r="D23" s="3">
        <f t="shared" si="0"/>
        <v>20.95571</v>
      </c>
      <c r="E23" s="3">
        <f t="shared" si="1"/>
        <v>4.4290000000000163E-2</v>
      </c>
      <c r="F23" s="3">
        <f t="shared" si="2"/>
        <v>1.9616041000000144E-3</v>
      </c>
      <c r="G23" s="3">
        <f t="shared" si="3"/>
        <v>8.6879445589000952E-5</v>
      </c>
      <c r="H23" s="3">
        <f t="shared" si="4"/>
        <v>3.8478906451368669E-6</v>
      </c>
    </row>
    <row r="24" spans="1:8" x14ac:dyDescent="0.2">
      <c r="F24" s="5">
        <f>SUM(F4:F23)</f>
        <v>1.4631804513200022</v>
      </c>
      <c r="G24" s="5">
        <f t="shared" ref="G24:H24" si="5">SUM(G4:G23)</f>
        <v>0.11546045033806267</v>
      </c>
      <c r="H24" s="5">
        <f t="shared" si="5"/>
        <v>0.33124270779287024</v>
      </c>
    </row>
    <row r="27" spans="1:8" x14ac:dyDescent="0.2">
      <c r="B27" s="6" t="s">
        <v>100</v>
      </c>
    </row>
    <row r="28" spans="1:8" x14ac:dyDescent="0.2">
      <c r="B28" s="6" t="s">
        <v>101</v>
      </c>
    </row>
    <row r="31" spans="1:8" s="6" customFormat="1" x14ac:dyDescent="0.2">
      <c r="B31" s="6" t="s">
        <v>103</v>
      </c>
    </row>
    <row r="33" spans="1:14" x14ac:dyDescent="0.2">
      <c r="A33" s="4" t="s">
        <v>18</v>
      </c>
      <c r="B33" s="4" t="s">
        <v>19</v>
      </c>
      <c r="C33" s="4" t="s">
        <v>20</v>
      </c>
      <c r="D33" s="3" t="s">
        <v>85</v>
      </c>
      <c r="E33" s="3" t="s">
        <v>86</v>
      </c>
      <c r="F33" s="2" t="s">
        <v>104</v>
      </c>
      <c r="G33" s="2" t="s">
        <v>105</v>
      </c>
      <c r="K33" s="2" t="s">
        <v>84</v>
      </c>
      <c r="L33" s="2">
        <v>0.37165399999999998</v>
      </c>
    </row>
    <row r="34" spans="1:14" x14ac:dyDescent="0.2">
      <c r="A34" s="3">
        <v>2000</v>
      </c>
      <c r="B34" s="3">
        <v>14</v>
      </c>
      <c r="C34" s="3">
        <v>1</v>
      </c>
      <c r="D34" s="3">
        <f t="shared" ref="D34:D53" si="6">$L$3*C34+$L$4</f>
        <v>13.894283999999999</v>
      </c>
      <c r="E34" s="3">
        <f>B34-D34</f>
        <v>0.10571600000000103</v>
      </c>
      <c r="G34" s="2">
        <f>E34^2</f>
        <v>1.1175872656000218E-2</v>
      </c>
      <c r="L34" s="2">
        <v>13.522629999999999</v>
      </c>
    </row>
    <row r="35" spans="1:14" x14ac:dyDescent="0.2">
      <c r="A35" s="3">
        <v>2001</v>
      </c>
      <c r="B35" s="3">
        <v>14.9</v>
      </c>
      <c r="C35" s="3">
        <v>2</v>
      </c>
      <c r="D35" s="3">
        <f t="shared" si="6"/>
        <v>14.265938</v>
      </c>
      <c r="E35" s="3">
        <f t="shared" ref="E35:E53" si="7">B35-D35</f>
        <v>0.63406200000000013</v>
      </c>
      <c r="F35" s="2">
        <f>(E35-E34)^2</f>
        <v>0.27914949571599906</v>
      </c>
      <c r="G35" s="2">
        <f t="shared" ref="G35:G53" si="8">E35^2</f>
        <v>0.40203461984400019</v>
      </c>
    </row>
    <row r="36" spans="1:14" x14ac:dyDescent="0.2">
      <c r="A36" s="3">
        <v>2002</v>
      </c>
      <c r="B36" s="3">
        <v>14.5</v>
      </c>
      <c r="C36" s="3">
        <v>3</v>
      </c>
      <c r="D36" s="3">
        <f t="shared" si="6"/>
        <v>14.637592</v>
      </c>
      <c r="E36" s="3">
        <f t="shared" si="7"/>
        <v>-0.13759199999999971</v>
      </c>
      <c r="F36" s="2">
        <f t="shared" ref="F36:F53" si="9">(E36-E35)^2</f>
        <v>0.59544989571599971</v>
      </c>
      <c r="G36" s="2">
        <f t="shared" si="8"/>
        <v>1.8931558463999923E-2</v>
      </c>
      <c r="K36" s="2" t="s">
        <v>106</v>
      </c>
      <c r="L36" s="2">
        <f>F54/G54</f>
        <v>1.9705524766572438</v>
      </c>
      <c r="N36" s="2" t="s">
        <v>108</v>
      </c>
    </row>
    <row r="37" spans="1:14" x14ac:dyDescent="0.2">
      <c r="A37" s="3">
        <v>2003</v>
      </c>
      <c r="B37" s="3">
        <v>15.3</v>
      </c>
      <c r="C37" s="3">
        <v>4</v>
      </c>
      <c r="D37" s="3">
        <f t="shared" si="6"/>
        <v>15.009245999999999</v>
      </c>
      <c r="E37" s="3">
        <f t="shared" si="7"/>
        <v>0.29075400000000151</v>
      </c>
      <c r="F37" s="2">
        <f t="shared" si="9"/>
        <v>0.18348029571600105</v>
      </c>
      <c r="G37" s="2">
        <f t="shared" si="8"/>
        <v>8.4537888516000873E-2</v>
      </c>
    </row>
    <row r="38" spans="1:14" x14ac:dyDescent="0.2">
      <c r="A38" s="3">
        <v>2004</v>
      </c>
      <c r="B38" s="3">
        <v>15.3</v>
      </c>
      <c r="C38" s="3">
        <v>5</v>
      </c>
      <c r="D38" s="3">
        <f t="shared" si="6"/>
        <v>15.380899999999999</v>
      </c>
      <c r="E38" s="3">
        <f t="shared" si="7"/>
        <v>-8.0899999999997974E-2</v>
      </c>
      <c r="F38" s="2">
        <f t="shared" si="9"/>
        <v>0.13812669571599961</v>
      </c>
      <c r="G38" s="2">
        <f t="shared" si="8"/>
        <v>6.544809999999672E-3</v>
      </c>
      <c r="K38" s="2" t="s">
        <v>109</v>
      </c>
      <c r="L38" s="2">
        <v>1.2</v>
      </c>
    </row>
    <row r="39" spans="1:14" x14ac:dyDescent="0.2">
      <c r="A39" s="3">
        <v>2005</v>
      </c>
      <c r="B39" s="3">
        <v>15.2</v>
      </c>
      <c r="C39" s="3">
        <v>6</v>
      </c>
      <c r="D39" s="3">
        <f t="shared" si="6"/>
        <v>15.752554</v>
      </c>
      <c r="E39" s="3">
        <f t="shared" si="7"/>
        <v>-0.55255400000000066</v>
      </c>
      <c r="F39" s="2">
        <f t="shared" si="9"/>
        <v>0.22245749571600254</v>
      </c>
      <c r="G39" s="2">
        <f t="shared" si="8"/>
        <v>0.30531592291600074</v>
      </c>
      <c r="K39" s="2" t="s">
        <v>110</v>
      </c>
      <c r="L39" s="2">
        <v>1.41</v>
      </c>
      <c r="N39" s="2" t="s">
        <v>111</v>
      </c>
    </row>
    <row r="40" spans="1:14" x14ac:dyDescent="0.2">
      <c r="A40" s="3">
        <v>2006</v>
      </c>
      <c r="B40" s="3">
        <v>15.8</v>
      </c>
      <c r="C40" s="3">
        <v>7</v>
      </c>
      <c r="D40" s="3">
        <f t="shared" si="6"/>
        <v>16.124207999999999</v>
      </c>
      <c r="E40" s="3">
        <f t="shared" si="7"/>
        <v>-0.32420799999999872</v>
      </c>
      <c r="F40" s="2">
        <f t="shared" si="9"/>
        <v>5.2141895716000884E-2</v>
      </c>
      <c r="G40" s="2">
        <f t="shared" si="8"/>
        <v>0.10511082726399917</v>
      </c>
    </row>
    <row r="41" spans="1:14" x14ac:dyDescent="0.2">
      <c r="A41" s="3">
        <v>2007</v>
      </c>
      <c r="B41" s="3">
        <v>16.5</v>
      </c>
      <c r="C41" s="3">
        <v>8</v>
      </c>
      <c r="D41" s="3">
        <f t="shared" si="6"/>
        <v>16.495861999999999</v>
      </c>
      <c r="E41" s="3">
        <f t="shared" si="7"/>
        <v>4.1380000000010853E-3</v>
      </c>
      <c r="F41" s="2">
        <f t="shared" si="9"/>
        <v>0.10781109571599987</v>
      </c>
      <c r="G41" s="2">
        <f t="shared" si="8"/>
        <v>1.7123044000008981E-5</v>
      </c>
      <c r="L41" s="2" t="s">
        <v>112</v>
      </c>
    </row>
    <row r="42" spans="1:14" x14ac:dyDescent="0.2">
      <c r="A42" s="3">
        <v>2008</v>
      </c>
      <c r="B42" s="3">
        <v>16.600000000000001</v>
      </c>
      <c r="C42" s="3">
        <v>9</v>
      </c>
      <c r="D42" s="3">
        <f t="shared" si="6"/>
        <v>16.867515999999998</v>
      </c>
      <c r="E42" s="3">
        <f t="shared" si="7"/>
        <v>-0.26751599999999698</v>
      </c>
      <c r="F42" s="2">
        <f t="shared" si="9"/>
        <v>7.3795895715998955E-2</v>
      </c>
      <c r="G42" s="2">
        <f t="shared" si="8"/>
        <v>7.1564810255998382E-2</v>
      </c>
      <c r="L42" s="2" t="s">
        <v>113</v>
      </c>
    </row>
    <row r="43" spans="1:14" x14ac:dyDescent="0.2">
      <c r="A43" s="3">
        <v>2009</v>
      </c>
      <c r="B43" s="3">
        <v>17</v>
      </c>
      <c r="C43" s="3">
        <v>10</v>
      </c>
      <c r="D43" s="3">
        <f t="shared" si="6"/>
        <v>17.239169999999998</v>
      </c>
      <c r="E43" s="3">
        <f t="shared" si="7"/>
        <v>-0.23916999999999788</v>
      </c>
      <c r="F43" s="2">
        <f t="shared" si="9"/>
        <v>8.0349571599994867E-4</v>
      </c>
      <c r="G43" s="2">
        <f t="shared" si="8"/>
        <v>5.7202288899998989E-2</v>
      </c>
    </row>
    <row r="44" spans="1:14" x14ac:dyDescent="0.2">
      <c r="A44" s="3">
        <v>2010</v>
      </c>
      <c r="B44" s="3">
        <v>17.7</v>
      </c>
      <c r="C44" s="3">
        <v>11</v>
      </c>
      <c r="D44" s="3">
        <f t="shared" si="6"/>
        <v>17.610824000000001</v>
      </c>
      <c r="E44" s="3">
        <f t="shared" si="7"/>
        <v>8.9175999999998368E-2</v>
      </c>
      <c r="F44" s="2">
        <f t="shared" si="9"/>
        <v>0.10781109571599753</v>
      </c>
      <c r="G44" s="2">
        <f t="shared" si="8"/>
        <v>7.9523589759997095E-3</v>
      </c>
    </row>
    <row r="45" spans="1:14" x14ac:dyDescent="0.2">
      <c r="A45" s="3">
        <v>2011</v>
      </c>
      <c r="B45" s="3">
        <v>17.7</v>
      </c>
      <c r="C45" s="3">
        <v>12</v>
      </c>
      <c r="D45" s="3">
        <f t="shared" si="6"/>
        <v>17.982478</v>
      </c>
      <c r="E45" s="3">
        <f t="shared" si="7"/>
        <v>-0.28247800000000112</v>
      </c>
      <c r="F45" s="2">
        <f t="shared" si="9"/>
        <v>0.13812669571599961</v>
      </c>
      <c r="G45" s="2">
        <f t="shared" si="8"/>
        <v>7.9793820484000633E-2</v>
      </c>
    </row>
    <row r="46" spans="1:14" x14ac:dyDescent="0.2">
      <c r="A46" s="3">
        <v>2012</v>
      </c>
      <c r="B46" s="3">
        <v>18.8</v>
      </c>
      <c r="C46" s="3">
        <v>13</v>
      </c>
      <c r="D46" s="3">
        <f t="shared" si="6"/>
        <v>18.354132</v>
      </c>
      <c r="E46" s="3">
        <f t="shared" si="7"/>
        <v>0.44586800000000082</v>
      </c>
      <c r="F46" s="2">
        <f t="shared" si="9"/>
        <v>0.53048789571600286</v>
      </c>
      <c r="G46" s="2">
        <f t="shared" si="8"/>
        <v>0.19879827342400072</v>
      </c>
    </row>
    <row r="47" spans="1:14" x14ac:dyDescent="0.2">
      <c r="A47" s="3">
        <v>2013</v>
      </c>
      <c r="B47" s="3">
        <v>18.7</v>
      </c>
      <c r="C47" s="3">
        <v>14</v>
      </c>
      <c r="D47" s="3">
        <f t="shared" si="6"/>
        <v>18.725785999999999</v>
      </c>
      <c r="E47" s="3">
        <f t="shared" si="7"/>
        <v>-2.5786000000000087E-2</v>
      </c>
      <c r="F47" s="2">
        <f t="shared" si="9"/>
        <v>0.22245749571600085</v>
      </c>
      <c r="G47" s="2">
        <f t="shared" si="8"/>
        <v>6.6491779600000452E-4</v>
      </c>
    </row>
    <row r="48" spans="1:14" x14ac:dyDescent="0.2">
      <c r="A48" s="3">
        <v>2014</v>
      </c>
      <c r="B48" s="3">
        <v>19.100000000000001</v>
      </c>
      <c r="C48" s="3">
        <v>15</v>
      </c>
      <c r="D48" s="3">
        <f t="shared" si="6"/>
        <v>19.097439999999999</v>
      </c>
      <c r="E48" s="3">
        <f t="shared" si="7"/>
        <v>2.5600000000025602E-3</v>
      </c>
      <c r="F48" s="2">
        <f t="shared" si="9"/>
        <v>8.0349571600015E-4</v>
      </c>
      <c r="G48" s="2">
        <f t="shared" si="8"/>
        <v>6.5536000000131081E-6</v>
      </c>
    </row>
    <row r="49" spans="1:7" x14ac:dyDescent="0.2">
      <c r="A49" s="3">
        <v>2015</v>
      </c>
      <c r="B49" s="3">
        <v>19.600000000000001</v>
      </c>
      <c r="C49" s="3">
        <v>16</v>
      </c>
      <c r="D49" s="3">
        <f t="shared" si="6"/>
        <v>19.469093999999998</v>
      </c>
      <c r="E49" s="3">
        <f t="shared" si="7"/>
        <v>0.13090600000000308</v>
      </c>
      <c r="F49" s="2">
        <f t="shared" si="9"/>
        <v>1.6472695716000133E-2</v>
      </c>
      <c r="G49" s="2">
        <f t="shared" si="8"/>
        <v>1.7136380836000806E-2</v>
      </c>
    </row>
    <row r="50" spans="1:7" x14ac:dyDescent="0.2">
      <c r="A50" s="3">
        <v>2016</v>
      </c>
      <c r="B50" s="3">
        <v>20</v>
      </c>
      <c r="C50" s="3">
        <v>17</v>
      </c>
      <c r="D50" s="3">
        <f t="shared" si="6"/>
        <v>19.840747999999998</v>
      </c>
      <c r="E50" s="3">
        <f t="shared" si="7"/>
        <v>0.15925200000000217</v>
      </c>
      <c r="F50" s="2">
        <f t="shared" si="9"/>
        <v>8.0349571599994867E-4</v>
      </c>
      <c r="G50" s="2">
        <f t="shared" si="8"/>
        <v>2.5361199504000689E-2</v>
      </c>
    </row>
    <row r="51" spans="1:7" x14ac:dyDescent="0.2">
      <c r="A51" s="3">
        <v>2017</v>
      </c>
      <c r="B51" s="3">
        <v>20.399999999999999</v>
      </c>
      <c r="C51" s="3">
        <v>18</v>
      </c>
      <c r="D51" s="3">
        <f t="shared" si="6"/>
        <v>20.212401999999997</v>
      </c>
      <c r="E51" s="3">
        <f t="shared" si="7"/>
        <v>0.18759800000000126</v>
      </c>
      <c r="F51" s="2">
        <f t="shared" si="9"/>
        <v>8.0349571599994867E-4</v>
      </c>
      <c r="G51" s="2">
        <f t="shared" si="8"/>
        <v>3.5193009604000472E-2</v>
      </c>
    </row>
    <row r="52" spans="1:7" x14ac:dyDescent="0.2">
      <c r="A52" s="3">
        <v>2018</v>
      </c>
      <c r="B52" s="3">
        <v>20.399999999999999</v>
      </c>
      <c r="C52" s="3">
        <v>19</v>
      </c>
      <c r="D52" s="3">
        <f t="shared" si="6"/>
        <v>20.584056</v>
      </c>
      <c r="E52" s="3">
        <f t="shared" si="7"/>
        <v>-0.18405600000000177</v>
      </c>
      <c r="F52" s="2">
        <f t="shared" si="9"/>
        <v>0.13812669571600225</v>
      </c>
      <c r="G52" s="2">
        <f t="shared" si="8"/>
        <v>3.3876611136000656E-2</v>
      </c>
    </row>
    <row r="53" spans="1:7" x14ac:dyDescent="0.2">
      <c r="A53" s="3">
        <v>2019</v>
      </c>
      <c r="B53" s="3">
        <v>21</v>
      </c>
      <c r="C53" s="3">
        <v>20</v>
      </c>
      <c r="D53" s="3">
        <f t="shared" si="6"/>
        <v>20.95571</v>
      </c>
      <c r="E53" s="3">
        <f t="shared" si="7"/>
        <v>4.4290000000000163E-2</v>
      </c>
      <c r="F53" s="2">
        <f t="shared" si="9"/>
        <v>5.2141895716000884E-2</v>
      </c>
      <c r="G53" s="2">
        <f t="shared" si="8"/>
        <v>1.9616041000000144E-3</v>
      </c>
    </row>
    <row r="54" spans="1:7" x14ac:dyDescent="0.2">
      <c r="F54" s="5">
        <f>SUM(F35:F53)</f>
        <v>2.8612512186040062</v>
      </c>
      <c r="G54" s="5">
        <f>SUM(G35:G53)</f>
        <v>1.4520045786640017</v>
      </c>
    </row>
    <row r="58" spans="1:7" x14ac:dyDescent="0.2">
      <c r="C58" s="5"/>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1394-A08D-9B4B-9777-E426CD6773BC}">
  <dimension ref="A1:B12"/>
  <sheetViews>
    <sheetView workbookViewId="0">
      <selection activeCell="D15" sqref="D15"/>
    </sheetView>
  </sheetViews>
  <sheetFormatPr baseColWidth="10" defaultRowHeight="16" x14ac:dyDescent="0.2"/>
  <cols>
    <col min="1" max="1" width="33.1640625" bestFit="1" customWidth="1"/>
    <col min="2" max="2" width="17.5" bestFit="1" customWidth="1"/>
  </cols>
  <sheetData>
    <row r="1" spans="1:2" x14ac:dyDescent="0.2">
      <c r="A1" t="s">
        <v>147</v>
      </c>
      <c r="B1" s="10" t="s">
        <v>116</v>
      </c>
    </row>
    <row r="2" spans="1:2" x14ac:dyDescent="0.2">
      <c r="B2" s="10" t="s">
        <v>101</v>
      </c>
    </row>
    <row r="4" spans="1:2" x14ac:dyDescent="0.2">
      <c r="B4" s="10" t="s">
        <v>126</v>
      </c>
    </row>
    <row r="5" spans="1:2" x14ac:dyDescent="0.2">
      <c r="B5" s="10" t="s">
        <v>101</v>
      </c>
    </row>
    <row r="8" spans="1:2" x14ac:dyDescent="0.2">
      <c r="A8" t="s">
        <v>148</v>
      </c>
      <c r="B8" s="10" t="s">
        <v>149</v>
      </c>
    </row>
    <row r="9" spans="1:2" x14ac:dyDescent="0.2">
      <c r="B9" s="10" t="s">
        <v>101</v>
      </c>
    </row>
    <row r="11" spans="1:2" x14ac:dyDescent="0.2">
      <c r="B11" s="10" t="s">
        <v>166</v>
      </c>
    </row>
    <row r="12" spans="1:2" x14ac:dyDescent="0.2">
      <c r="B12" s="10" t="s">
        <v>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D55AB-2A1A-CD4F-8270-307FD1B53927}">
  <dimension ref="A1:P38"/>
  <sheetViews>
    <sheetView topLeftCell="A11" workbookViewId="0">
      <selection activeCell="H18" sqref="H18"/>
    </sheetView>
  </sheetViews>
  <sheetFormatPr baseColWidth="10" defaultRowHeight="16" x14ac:dyDescent="0.2"/>
  <cols>
    <col min="1" max="1" width="19.33203125" bestFit="1" customWidth="1"/>
  </cols>
  <sheetData>
    <row r="1" spans="1:11" x14ac:dyDescent="0.2">
      <c r="A1" s="3" t="s">
        <v>181</v>
      </c>
      <c r="B1" s="3">
        <v>4.2</v>
      </c>
      <c r="C1" s="3">
        <v>5.8</v>
      </c>
      <c r="D1" s="3">
        <v>7</v>
      </c>
      <c r="E1" s="3">
        <v>7</v>
      </c>
      <c r="F1" s="3">
        <v>2.8</v>
      </c>
      <c r="G1" s="3">
        <v>3.2</v>
      </c>
      <c r="H1" s="3">
        <v>2.8</v>
      </c>
      <c r="I1" s="3">
        <v>5.6</v>
      </c>
      <c r="J1" s="3">
        <v>8</v>
      </c>
      <c r="K1" s="3">
        <v>5.6</v>
      </c>
    </row>
    <row r="2" spans="1:11" x14ac:dyDescent="0.2">
      <c r="A2" s="3" t="s">
        <v>182</v>
      </c>
      <c r="B2" s="3">
        <v>3.5</v>
      </c>
      <c r="C2" s="3">
        <v>4</v>
      </c>
      <c r="D2" s="3">
        <v>5</v>
      </c>
      <c r="E2" s="3">
        <v>4.5</v>
      </c>
      <c r="F2" s="3">
        <v>3</v>
      </c>
      <c r="G2" s="3">
        <v>3.5</v>
      </c>
      <c r="H2" s="3">
        <v>3</v>
      </c>
      <c r="I2" s="3">
        <v>4.5</v>
      </c>
      <c r="J2" s="3">
        <v>5</v>
      </c>
      <c r="K2" s="3">
        <v>4</v>
      </c>
    </row>
    <row r="3" spans="1:11" x14ac:dyDescent="0.2">
      <c r="A3" s="3" t="s">
        <v>183</v>
      </c>
      <c r="B3" s="3">
        <v>8</v>
      </c>
      <c r="C3" s="3">
        <v>7</v>
      </c>
      <c r="D3" s="3">
        <v>8</v>
      </c>
      <c r="E3" s="3">
        <v>6.5</v>
      </c>
      <c r="F3" s="3">
        <v>8.5</v>
      </c>
      <c r="G3" s="3">
        <v>9</v>
      </c>
      <c r="H3" s="3">
        <v>10</v>
      </c>
      <c r="I3" s="3">
        <v>9</v>
      </c>
      <c r="J3" s="3">
        <v>7.5</v>
      </c>
      <c r="K3" s="3">
        <v>8</v>
      </c>
    </row>
    <row r="5" spans="1:11" x14ac:dyDescent="0.2">
      <c r="A5" s="3" t="s">
        <v>130</v>
      </c>
      <c r="B5" t="str" cm="1">
        <f t="array" ref="B5:D15">TRANSPOSE(A1:K3)</f>
        <v>Sprzedaż (y)</v>
      </c>
      <c r="C5" t="str">
        <v>Wydatki na reklamę (x1)</v>
      </c>
      <c r="D5" t="str">
        <v>Cena wyrobu (x2)</v>
      </c>
    </row>
    <row r="6" spans="1:11" x14ac:dyDescent="0.2">
      <c r="A6">
        <v>1</v>
      </c>
      <c r="B6">
        <v>4.2</v>
      </c>
      <c r="C6">
        <v>3.5</v>
      </c>
      <c r="D6">
        <v>8</v>
      </c>
    </row>
    <row r="7" spans="1:11" x14ac:dyDescent="0.2">
      <c r="A7">
        <v>2</v>
      </c>
      <c r="B7">
        <v>5.8</v>
      </c>
      <c r="C7">
        <v>4</v>
      </c>
      <c r="D7">
        <v>7</v>
      </c>
    </row>
    <row r="8" spans="1:11" x14ac:dyDescent="0.2">
      <c r="A8">
        <v>3</v>
      </c>
      <c r="B8">
        <v>7</v>
      </c>
      <c r="C8">
        <v>5</v>
      </c>
      <c r="D8">
        <v>8</v>
      </c>
    </row>
    <row r="9" spans="1:11" x14ac:dyDescent="0.2">
      <c r="A9">
        <v>4</v>
      </c>
      <c r="B9">
        <v>7</v>
      </c>
      <c r="C9">
        <v>4.5</v>
      </c>
      <c r="D9">
        <v>6.5</v>
      </c>
    </row>
    <row r="10" spans="1:11" x14ac:dyDescent="0.2">
      <c r="A10">
        <v>5</v>
      </c>
      <c r="B10">
        <v>2.8</v>
      </c>
      <c r="C10">
        <v>3</v>
      </c>
      <c r="D10">
        <v>8.5</v>
      </c>
    </row>
    <row r="11" spans="1:11" x14ac:dyDescent="0.2">
      <c r="A11">
        <v>6</v>
      </c>
      <c r="B11">
        <v>3.2</v>
      </c>
      <c r="C11">
        <v>3.5</v>
      </c>
      <c r="D11">
        <v>9</v>
      </c>
    </row>
    <row r="12" spans="1:11" x14ac:dyDescent="0.2">
      <c r="A12">
        <v>7</v>
      </c>
      <c r="B12">
        <v>2.8</v>
      </c>
      <c r="C12">
        <v>3</v>
      </c>
      <c r="D12">
        <v>10</v>
      </c>
    </row>
    <row r="13" spans="1:11" x14ac:dyDescent="0.2">
      <c r="A13">
        <v>8</v>
      </c>
      <c r="B13">
        <v>5.6</v>
      </c>
      <c r="C13">
        <v>4.5</v>
      </c>
      <c r="D13">
        <v>9</v>
      </c>
    </row>
    <row r="14" spans="1:11" x14ac:dyDescent="0.2">
      <c r="A14">
        <v>9</v>
      </c>
      <c r="B14">
        <v>8</v>
      </c>
      <c r="C14">
        <v>5</v>
      </c>
      <c r="D14">
        <v>7.5</v>
      </c>
    </row>
    <row r="15" spans="1:11" x14ac:dyDescent="0.2">
      <c r="A15">
        <v>10</v>
      </c>
      <c r="B15">
        <v>5.6</v>
      </c>
      <c r="C15">
        <v>4</v>
      </c>
      <c r="D15">
        <v>8</v>
      </c>
    </row>
    <row r="17" spans="1:16" x14ac:dyDescent="0.2">
      <c r="A17" s="30" t="s">
        <v>215</v>
      </c>
      <c r="M17" s="30" t="s">
        <v>216</v>
      </c>
    </row>
    <row r="18" spans="1:16" x14ac:dyDescent="0.2">
      <c r="A18" t="s">
        <v>184</v>
      </c>
      <c r="G18" s="26" t="s">
        <v>212</v>
      </c>
      <c r="H18" s="27">
        <f>B24/AVERAGE(B6:B15)</f>
        <v>7.6151821460101854E-2</v>
      </c>
      <c r="J18" s="32" t="s">
        <v>213</v>
      </c>
      <c r="M18" s="18" cm="1">
        <f t="array" ref="M18:O22">LINEST(B6:B15,C6:D15,1,1)</f>
        <v>-0.49162011173184345</v>
      </c>
      <c r="N18" s="18">
        <v>2.0312849162011175</v>
      </c>
      <c r="O18" s="18">
        <v>1.0815642458100543</v>
      </c>
    </row>
    <row r="19" spans="1:16" ht="17" thickBot="1" x14ac:dyDescent="0.25">
      <c r="M19">
        <v>0.15284156990676689</v>
      </c>
      <c r="N19">
        <v>0.21095459028291264</v>
      </c>
      <c r="O19">
        <v>1.8497855822216627</v>
      </c>
      <c r="P19" t="s">
        <v>222</v>
      </c>
    </row>
    <row r="20" spans="1:16" x14ac:dyDescent="0.2">
      <c r="A20" s="15" t="s">
        <v>185</v>
      </c>
      <c r="B20" s="15"/>
      <c r="M20" s="20">
        <v>0.96517596347446333</v>
      </c>
      <c r="N20" s="26">
        <v>0.39598947159252962</v>
      </c>
      <c r="O20" t="e">
        <v>#N/A</v>
      </c>
    </row>
    <row r="21" spans="1:16" x14ac:dyDescent="0.2">
      <c r="A21" s="12" t="s">
        <v>186</v>
      </c>
      <c r="B21" s="12">
        <v>0.98243369418727866</v>
      </c>
      <c r="M21">
        <v>97.005293159609181</v>
      </c>
      <c r="N21" s="38">
        <v>7</v>
      </c>
      <c r="O21" t="e">
        <v>#N/A</v>
      </c>
      <c r="P21" s="38" t="s">
        <v>225</v>
      </c>
    </row>
    <row r="22" spans="1:16" x14ac:dyDescent="0.2">
      <c r="A22" s="19" t="s">
        <v>187</v>
      </c>
      <c r="B22" s="19">
        <v>0.96517596347446333</v>
      </c>
      <c r="M22">
        <v>30.422346368715086</v>
      </c>
      <c r="N22">
        <v>1.0976536312849157</v>
      </c>
      <c r="O22" t="e">
        <v>#N/A</v>
      </c>
    </row>
    <row r="23" spans="1:16" x14ac:dyDescent="0.2">
      <c r="A23" s="12" t="s">
        <v>188</v>
      </c>
      <c r="B23" s="12">
        <v>0.95522623875288148</v>
      </c>
      <c r="D23" s="33" t="s">
        <v>209</v>
      </c>
      <c r="M23" s="31" t="s">
        <v>217</v>
      </c>
      <c r="N23" s="31" t="s">
        <v>218</v>
      </c>
    </row>
    <row r="24" spans="1:16" x14ac:dyDescent="0.2">
      <c r="A24" s="12" t="s">
        <v>189</v>
      </c>
      <c r="B24" s="12">
        <v>0.39598947159252962</v>
      </c>
    </row>
    <row r="25" spans="1:16" ht="17" thickBot="1" x14ac:dyDescent="0.25">
      <c r="A25" s="13" t="s">
        <v>190</v>
      </c>
      <c r="B25" s="13">
        <v>10</v>
      </c>
      <c r="M25" t="s">
        <v>219</v>
      </c>
    </row>
    <row r="26" spans="1:16" x14ac:dyDescent="0.2">
      <c r="M26" t="s">
        <v>220</v>
      </c>
      <c r="N26">
        <f>N18/N19</f>
        <v>9.6290150097087128</v>
      </c>
      <c r="O26" t="s">
        <v>223</v>
      </c>
    </row>
    <row r="27" spans="1:16" ht="17" thickBot="1" x14ac:dyDescent="0.25">
      <c r="A27" t="s">
        <v>191</v>
      </c>
      <c r="M27" t="s">
        <v>221</v>
      </c>
      <c r="N27">
        <f>M18/M19</f>
        <v>-3.2165340360723258</v>
      </c>
    </row>
    <row r="28" spans="1:16" x14ac:dyDescent="0.2">
      <c r="A28" s="14"/>
      <c r="B28" s="14" t="s">
        <v>196</v>
      </c>
      <c r="C28" s="14" t="s">
        <v>197</v>
      </c>
      <c r="D28" s="14" t="s">
        <v>198</v>
      </c>
      <c r="E28" s="14" t="s">
        <v>199</v>
      </c>
      <c r="F28" s="14" t="s">
        <v>200</v>
      </c>
    </row>
    <row r="29" spans="1:16" x14ac:dyDescent="0.2">
      <c r="A29" s="12" t="s">
        <v>192</v>
      </c>
      <c r="B29" s="12">
        <v>2</v>
      </c>
      <c r="C29" s="12">
        <v>30.422346368715086</v>
      </c>
      <c r="D29" s="12">
        <v>15.211173184357543</v>
      </c>
      <c r="E29" s="12">
        <v>97.005293159609181</v>
      </c>
      <c r="F29" s="12">
        <v>7.8809193623512603E-6</v>
      </c>
      <c r="M29" t="s">
        <v>224</v>
      </c>
    </row>
    <row r="30" spans="1:16" x14ac:dyDescent="0.2">
      <c r="A30" s="12" t="s">
        <v>193</v>
      </c>
      <c r="B30" s="12">
        <v>7</v>
      </c>
      <c r="C30" s="12">
        <v>1.0976536312849157</v>
      </c>
      <c r="D30" s="12">
        <v>0.15680766161213081</v>
      </c>
      <c r="E30" s="12"/>
      <c r="F30" s="12"/>
      <c r="M30">
        <f>_xlfn.T.INV.2T(0.05,N21)</f>
        <v>2.3646242515927849</v>
      </c>
    </row>
    <row r="31" spans="1:16" ht="17" thickBot="1" x14ac:dyDescent="0.25">
      <c r="A31" s="13" t="s">
        <v>194</v>
      </c>
      <c r="B31" s="13">
        <v>9</v>
      </c>
      <c r="C31" s="13">
        <v>31.520000000000003</v>
      </c>
      <c r="D31" s="13"/>
      <c r="E31" s="13"/>
      <c r="F31" s="13"/>
    </row>
    <row r="32" spans="1:16" ht="17" thickBot="1" x14ac:dyDescent="0.25">
      <c r="M32" t="s">
        <v>226</v>
      </c>
    </row>
    <row r="33" spans="1:15" x14ac:dyDescent="0.2">
      <c r="A33" s="14"/>
      <c r="B33" s="14" t="s">
        <v>201</v>
      </c>
      <c r="C33" s="14" t="s">
        <v>189</v>
      </c>
      <c r="D33" s="14" t="s">
        <v>202</v>
      </c>
      <c r="E33" s="14" t="s">
        <v>203</v>
      </c>
      <c r="F33" s="14" t="s">
        <v>204</v>
      </c>
      <c r="G33" s="14" t="s">
        <v>205</v>
      </c>
      <c r="H33" s="14" t="s">
        <v>206</v>
      </c>
      <c r="I33" s="14" t="s">
        <v>207</v>
      </c>
      <c r="O33" t="s">
        <v>227</v>
      </c>
    </row>
    <row r="34" spans="1:15" x14ac:dyDescent="0.2">
      <c r="A34" s="12" t="s">
        <v>195</v>
      </c>
      <c r="B34" s="16">
        <v>1.0815642458100543</v>
      </c>
      <c r="C34" s="12">
        <v>1.8497855822216627</v>
      </c>
      <c r="D34" s="21">
        <v>0.58469708933024256</v>
      </c>
      <c r="E34" s="23">
        <v>0.57710270525981733</v>
      </c>
      <c r="F34" s="12">
        <v>-3.2924836021579686</v>
      </c>
      <c r="G34" s="12">
        <v>5.4556120937780772</v>
      </c>
      <c r="H34" s="12">
        <v>-2.4229999422710704</v>
      </c>
      <c r="I34" s="12">
        <v>4.5861284338911794</v>
      </c>
      <c r="M34" s="25">
        <f>N20/O34</f>
        <v>7.6151821460101854E-2</v>
      </c>
      <c r="O34">
        <f>AVERAGE(B6:B15)</f>
        <v>5.2</v>
      </c>
    </row>
    <row r="35" spans="1:15" x14ac:dyDescent="0.2">
      <c r="A35" s="12" t="s">
        <v>182</v>
      </c>
      <c r="B35" s="16">
        <v>2.0312849162011175</v>
      </c>
      <c r="C35" s="12">
        <v>0.21095459028291264</v>
      </c>
      <c r="D35" s="21">
        <v>9.6290150097087128</v>
      </c>
      <c r="E35" s="23">
        <v>2.7433965240101693E-5</v>
      </c>
      <c r="F35" s="12">
        <v>1.5324565760333226</v>
      </c>
      <c r="G35" s="12">
        <v>2.5301132563689124</v>
      </c>
      <c r="H35" s="28">
        <v>1.6316148628055829</v>
      </c>
      <c r="I35" s="28">
        <v>2.4309549695966521</v>
      </c>
    </row>
    <row r="36" spans="1:15" ht="17" thickBot="1" x14ac:dyDescent="0.25">
      <c r="A36" s="13" t="s">
        <v>183</v>
      </c>
      <c r="B36" s="17">
        <v>-0.49162011173184345</v>
      </c>
      <c r="C36" s="13">
        <v>0.15284156990676689</v>
      </c>
      <c r="D36" s="22">
        <v>-3.2165340360723258</v>
      </c>
      <c r="E36" s="24">
        <v>1.4724001650031755E-2</v>
      </c>
      <c r="F36" s="13">
        <v>-0.85303299458489845</v>
      </c>
      <c r="G36" s="13">
        <v>-0.13020722887878844</v>
      </c>
      <c r="H36" s="29">
        <v>-0.78119048004557268</v>
      </c>
      <c r="I36" s="29">
        <v>-0.20204974341811416</v>
      </c>
      <c r="M36" t="s">
        <v>228</v>
      </c>
    </row>
    <row r="37" spans="1:15" x14ac:dyDescent="0.2">
      <c r="M37" t="s">
        <v>229</v>
      </c>
      <c r="N37">
        <f>N18-N19*M30</f>
        <v>1.5324565760333226</v>
      </c>
      <c r="O37">
        <f>N18+N19*M30</f>
        <v>2.5301132563689124</v>
      </c>
    </row>
    <row r="38" spans="1:15" s="31" customFormat="1" x14ac:dyDescent="0.2">
      <c r="B38" s="34" t="s">
        <v>208</v>
      </c>
      <c r="D38" s="35" t="s">
        <v>210</v>
      </c>
      <c r="E38" s="36" t="s">
        <v>211</v>
      </c>
      <c r="H38" s="37" t="s">
        <v>214</v>
      </c>
      <c r="M38" s="31" t="s">
        <v>230</v>
      </c>
      <c r="N38" s="31">
        <f>M18-M19*M30</f>
        <v>-0.85303299458489845</v>
      </c>
      <c r="O38" s="31">
        <f>M18+M19*M30</f>
        <v>-0.13020722887878844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41A9-8E3F-D147-8B4B-BB8B9C5BBCFB}">
  <dimension ref="A1:V33"/>
  <sheetViews>
    <sheetView workbookViewId="0">
      <selection sqref="A1:C21"/>
    </sheetView>
  </sheetViews>
  <sheetFormatPr baseColWidth="10" defaultRowHeight="16" x14ac:dyDescent="0.2"/>
  <cols>
    <col min="1" max="1" width="10.83203125" style="2"/>
    <col min="2" max="2" width="30.1640625" style="2" bestFit="1" customWidth="1"/>
    <col min="3" max="6" width="10.83203125" style="2"/>
    <col min="7" max="7" width="20.1640625" style="2" bestFit="1" customWidth="1"/>
    <col min="8" max="8" width="11" style="2" customWidth="1"/>
    <col min="9" max="16384" width="10.83203125" style="2"/>
  </cols>
  <sheetData>
    <row r="1" spans="1:22" x14ac:dyDescent="0.2">
      <c r="A1" s="4" t="s">
        <v>18</v>
      </c>
      <c r="B1" s="4" t="s">
        <v>19</v>
      </c>
      <c r="C1" s="4" t="s">
        <v>20</v>
      </c>
      <c r="F1" s="2" t="s">
        <v>21</v>
      </c>
    </row>
    <row r="2" spans="1:22" x14ac:dyDescent="0.2">
      <c r="A2" s="3">
        <v>2000</v>
      </c>
      <c r="B2" s="3">
        <v>14</v>
      </c>
      <c r="C2" s="3">
        <v>1</v>
      </c>
      <c r="F2" s="2" t="s">
        <v>22</v>
      </c>
    </row>
    <row r="3" spans="1:22" x14ac:dyDescent="0.2">
      <c r="A3" s="3">
        <v>2001</v>
      </c>
      <c r="B3" s="3">
        <v>14.9</v>
      </c>
      <c r="C3" s="3">
        <v>2</v>
      </c>
      <c r="F3" s="2" t="s">
        <v>3</v>
      </c>
    </row>
    <row r="4" spans="1:22" x14ac:dyDescent="0.2">
      <c r="A4" s="3">
        <v>2002</v>
      </c>
      <c r="B4" s="3">
        <v>14.5</v>
      </c>
      <c r="C4" s="3">
        <v>3</v>
      </c>
    </row>
    <row r="5" spans="1:22" x14ac:dyDescent="0.2">
      <c r="A5" s="3">
        <v>2003</v>
      </c>
      <c r="B5" s="3">
        <v>15.3</v>
      </c>
      <c r="C5" s="3">
        <v>4</v>
      </c>
    </row>
    <row r="6" spans="1:22" x14ac:dyDescent="0.2">
      <c r="A6" s="3">
        <v>2004</v>
      </c>
      <c r="B6" s="3">
        <v>15.3</v>
      </c>
      <c r="C6" s="3">
        <v>5</v>
      </c>
      <c r="F6" s="2" t="s">
        <v>23</v>
      </c>
    </row>
    <row r="7" spans="1:22" x14ac:dyDescent="0.2">
      <c r="A7" s="3">
        <v>2005</v>
      </c>
      <c r="B7" s="3">
        <v>15.2</v>
      </c>
      <c r="C7" s="3">
        <v>6</v>
      </c>
      <c r="F7" s="2">
        <v>1</v>
      </c>
      <c r="G7" s="2" t="s">
        <v>24</v>
      </c>
      <c r="H7" s="2" t="s">
        <v>25</v>
      </c>
      <c r="I7" s="2" t="s">
        <v>26</v>
      </c>
    </row>
    <row r="8" spans="1:22" x14ac:dyDescent="0.2">
      <c r="A8" s="3">
        <v>2006</v>
      </c>
      <c r="B8" s="3">
        <v>15.8</v>
      </c>
      <c r="C8" s="3">
        <v>7</v>
      </c>
      <c r="F8" s="2">
        <v>2</v>
      </c>
      <c r="G8" s="2" t="s">
        <v>27</v>
      </c>
      <c r="H8" s="2" t="s">
        <v>28</v>
      </c>
      <c r="I8" s="2" t="s">
        <v>29</v>
      </c>
    </row>
    <row r="9" spans="1:22" x14ac:dyDescent="0.2">
      <c r="A9" s="3">
        <v>2007</v>
      </c>
      <c r="B9" s="3">
        <v>16.5</v>
      </c>
      <c r="C9" s="3">
        <v>8</v>
      </c>
      <c r="F9" s="2">
        <v>3</v>
      </c>
      <c r="G9" s="2" t="s">
        <v>30</v>
      </c>
      <c r="H9" s="2" t="s">
        <v>31</v>
      </c>
    </row>
    <row r="10" spans="1:22" x14ac:dyDescent="0.2">
      <c r="A10" s="3">
        <v>2008</v>
      </c>
      <c r="B10" s="3">
        <v>16.600000000000001</v>
      </c>
      <c r="C10" s="3">
        <v>9</v>
      </c>
    </row>
    <row r="11" spans="1:22" x14ac:dyDescent="0.2">
      <c r="A11" s="3">
        <v>2009</v>
      </c>
      <c r="B11" s="3">
        <v>17</v>
      </c>
      <c r="C11" s="3">
        <v>10</v>
      </c>
    </row>
    <row r="12" spans="1:22" x14ac:dyDescent="0.2">
      <c r="A12" s="3">
        <v>2010</v>
      </c>
      <c r="B12" s="3">
        <v>17.7</v>
      </c>
      <c r="C12" s="3">
        <v>11</v>
      </c>
      <c r="F12" s="2" t="s">
        <v>4</v>
      </c>
      <c r="H12" s="2" t="s">
        <v>5</v>
      </c>
    </row>
    <row r="13" spans="1:22" x14ac:dyDescent="0.2">
      <c r="A13" s="3">
        <v>2011</v>
      </c>
      <c r="B13" s="3">
        <v>17.7</v>
      </c>
      <c r="C13" s="3">
        <v>12</v>
      </c>
      <c r="H13" s="2" t="s">
        <v>20</v>
      </c>
      <c r="I13" s="2" t="s">
        <v>8</v>
      </c>
      <c r="L13" s="2" t="s">
        <v>10</v>
      </c>
      <c r="O13" s="2" t="s">
        <v>32</v>
      </c>
      <c r="R13" s="2" t="s">
        <v>12</v>
      </c>
      <c r="T13" s="2" t="s">
        <v>13</v>
      </c>
    </row>
    <row r="14" spans="1:22" x14ac:dyDescent="0.2">
      <c r="A14" s="3">
        <v>2012</v>
      </c>
      <c r="B14" s="3">
        <v>18.8</v>
      </c>
      <c r="C14" s="3">
        <v>13</v>
      </c>
      <c r="F14" s="3">
        <v>14</v>
      </c>
      <c r="H14" s="3">
        <v>1</v>
      </c>
      <c r="I14" s="2">
        <v>1</v>
      </c>
      <c r="L14" s="2" cm="1">
        <f t="array" ref="L14:M15">MMULT(TRANSPOSE(H14:I33),H14:I33)</f>
        <v>2870</v>
      </c>
      <c r="M14" s="2">
        <v>210</v>
      </c>
      <c r="O14" s="2" cm="1">
        <f t="array" ref="O14:P15">MINVERSE(_xlfn.ANCHORARRAY(L14))</f>
        <v>1.5037593984962403E-3</v>
      </c>
      <c r="P14" s="2">
        <v>-1.5789473684210523E-2</v>
      </c>
      <c r="R14" s="2" cm="1">
        <f t="array" ref="R14:R15">MMULT(TRANSPOSE(H14:I33),F14:F33)</f>
        <v>3906.3999999999996</v>
      </c>
      <c r="T14" s="5" cm="1">
        <f t="array" ref="T14:T15">MMULT(_xlfn.ANCHORARRAY(O14),_xlfn.ANCHORARRAY(R14))</f>
        <v>0.37165413533834624</v>
      </c>
      <c r="V14" s="2" t="s">
        <v>36</v>
      </c>
    </row>
    <row r="15" spans="1:22" x14ac:dyDescent="0.2">
      <c r="A15" s="3">
        <v>2013</v>
      </c>
      <c r="B15" s="3">
        <v>18.7</v>
      </c>
      <c r="C15" s="3">
        <v>14</v>
      </c>
      <c r="F15" s="3">
        <v>14.9</v>
      </c>
      <c r="H15" s="3">
        <v>2</v>
      </c>
      <c r="I15" s="2">
        <v>1</v>
      </c>
      <c r="L15" s="2">
        <v>210</v>
      </c>
      <c r="M15" s="2">
        <v>20</v>
      </c>
      <c r="O15" s="2">
        <v>-1.5789473684210523E-2</v>
      </c>
      <c r="P15" s="2">
        <v>0.2157894736842105</v>
      </c>
      <c r="R15" s="2">
        <v>348.49999999999994</v>
      </c>
      <c r="T15" s="5">
        <v>13.522631578947362</v>
      </c>
    </row>
    <row r="16" spans="1:22" x14ac:dyDescent="0.2">
      <c r="A16" s="3">
        <v>2014</v>
      </c>
      <c r="B16" s="3">
        <v>19.100000000000001</v>
      </c>
      <c r="C16" s="3">
        <v>15</v>
      </c>
      <c r="F16" s="3">
        <v>14.5</v>
      </c>
      <c r="H16" s="3">
        <v>3</v>
      </c>
      <c r="I16" s="2">
        <v>1</v>
      </c>
    </row>
    <row r="17" spans="1:16" x14ac:dyDescent="0.2">
      <c r="A17" s="3">
        <v>2015</v>
      </c>
      <c r="B17" s="3">
        <v>19.600000000000001</v>
      </c>
      <c r="C17" s="3">
        <v>16</v>
      </c>
      <c r="F17" s="3">
        <v>15.3</v>
      </c>
      <c r="H17" s="3">
        <v>4</v>
      </c>
      <c r="I17" s="2">
        <v>1</v>
      </c>
    </row>
    <row r="18" spans="1:16" x14ac:dyDescent="0.2">
      <c r="A18" s="3">
        <v>2016</v>
      </c>
      <c r="B18" s="3">
        <v>20</v>
      </c>
      <c r="C18" s="3">
        <v>17</v>
      </c>
      <c r="F18" s="3">
        <v>15.3</v>
      </c>
      <c r="H18" s="3">
        <v>5</v>
      </c>
      <c r="I18" s="2">
        <v>1</v>
      </c>
      <c r="L18" s="2" t="s">
        <v>33</v>
      </c>
      <c r="M18" s="2" t="s">
        <v>34</v>
      </c>
      <c r="P18" s="5" t="s">
        <v>35</v>
      </c>
    </row>
    <row r="19" spans="1:16" x14ac:dyDescent="0.2">
      <c r="A19" s="3">
        <v>2017</v>
      </c>
      <c r="B19" s="3">
        <v>20.399999999999999</v>
      </c>
      <c r="C19" s="3">
        <v>18</v>
      </c>
      <c r="F19" s="3">
        <v>15.2</v>
      </c>
      <c r="H19" s="3">
        <v>6</v>
      </c>
      <c r="I19" s="2">
        <v>1</v>
      </c>
      <c r="L19" s="5" cm="1">
        <f t="array" ref="L19:M23">LINEST(B2:B21,C2:C21,TRUE,TRUE)</f>
        <v>0.37165413533834585</v>
      </c>
      <c r="M19" s="5">
        <v>13.522631578947365</v>
      </c>
    </row>
    <row r="20" spans="1:16" x14ac:dyDescent="0.2">
      <c r="A20" s="3">
        <v>2018</v>
      </c>
      <c r="B20" s="3">
        <v>20.399999999999999</v>
      </c>
      <c r="C20" s="3">
        <v>19</v>
      </c>
      <c r="F20" s="3">
        <v>15.8</v>
      </c>
      <c r="H20" s="3">
        <v>7</v>
      </c>
      <c r="I20" s="2">
        <v>1</v>
      </c>
      <c r="L20" s="2">
        <v>1.105609775211909E-2</v>
      </c>
      <c r="M20" s="2">
        <v>0.13244263736381587</v>
      </c>
    </row>
    <row r="21" spans="1:16" x14ac:dyDescent="0.2">
      <c r="A21" s="3">
        <v>2019</v>
      </c>
      <c r="B21" s="3">
        <v>21</v>
      </c>
      <c r="C21" s="3">
        <v>20</v>
      </c>
      <c r="F21" s="3">
        <v>16.5</v>
      </c>
      <c r="H21" s="3">
        <v>8</v>
      </c>
      <c r="I21" s="2">
        <v>1</v>
      </c>
      <c r="L21" s="2">
        <v>0.98432040666404663</v>
      </c>
      <c r="M21" s="2">
        <v>0.28511015913228088</v>
      </c>
    </row>
    <row r="22" spans="1:16" x14ac:dyDescent="0.2">
      <c r="F22" s="3">
        <v>16.600000000000001</v>
      </c>
      <c r="H22" s="3">
        <v>9</v>
      </c>
      <c r="I22" s="2">
        <v>1</v>
      </c>
      <c r="L22" s="2">
        <v>1129.9889570047719</v>
      </c>
      <c r="M22" s="2">
        <v>18</v>
      </c>
    </row>
    <row r="23" spans="1:16" x14ac:dyDescent="0.2">
      <c r="F23" s="3">
        <v>17</v>
      </c>
      <c r="H23" s="3">
        <v>10</v>
      </c>
      <c r="I23" s="2">
        <v>1</v>
      </c>
      <c r="L23" s="2">
        <v>91.854319548872141</v>
      </c>
      <c r="M23" s="2">
        <v>1.4631804511278215</v>
      </c>
    </row>
    <row r="24" spans="1:16" x14ac:dyDescent="0.2">
      <c r="F24" s="3">
        <v>17.7</v>
      </c>
      <c r="H24" s="3">
        <v>11</v>
      </c>
      <c r="I24" s="2">
        <v>1</v>
      </c>
    </row>
    <row r="25" spans="1:16" x14ac:dyDescent="0.2">
      <c r="F25" s="3">
        <v>17.7</v>
      </c>
      <c r="H25" s="3">
        <v>12</v>
      </c>
      <c r="I25" s="2">
        <v>1</v>
      </c>
    </row>
    <row r="26" spans="1:16" x14ac:dyDescent="0.2">
      <c r="F26" s="3">
        <v>18.8</v>
      </c>
      <c r="H26" s="3">
        <v>13</v>
      </c>
      <c r="I26" s="2">
        <v>1</v>
      </c>
      <c r="L26" s="2" t="s">
        <v>37</v>
      </c>
      <c r="M26" s="2" t="s">
        <v>38</v>
      </c>
    </row>
    <row r="27" spans="1:16" x14ac:dyDescent="0.2">
      <c r="F27" s="3">
        <v>18.7</v>
      </c>
      <c r="H27" s="3">
        <v>14</v>
      </c>
      <c r="I27" s="2">
        <v>1</v>
      </c>
    </row>
    <row r="28" spans="1:16" x14ac:dyDescent="0.2">
      <c r="F28" s="3">
        <v>19.100000000000001</v>
      </c>
      <c r="H28" s="3">
        <v>15</v>
      </c>
      <c r="I28" s="2">
        <v>1</v>
      </c>
    </row>
    <row r="29" spans="1:16" x14ac:dyDescent="0.2">
      <c r="F29" s="3">
        <v>19.600000000000001</v>
      </c>
      <c r="H29" s="3">
        <v>16</v>
      </c>
      <c r="I29" s="2">
        <v>1</v>
      </c>
    </row>
    <row r="30" spans="1:16" x14ac:dyDescent="0.2">
      <c r="F30" s="3">
        <v>20</v>
      </c>
      <c r="H30" s="3">
        <v>17</v>
      </c>
      <c r="I30" s="2">
        <v>1</v>
      </c>
    </row>
    <row r="31" spans="1:16" x14ac:dyDescent="0.2">
      <c r="F31" s="3">
        <v>20.399999999999999</v>
      </c>
      <c r="H31" s="3">
        <v>18</v>
      </c>
      <c r="I31" s="2">
        <v>1</v>
      </c>
    </row>
    <row r="32" spans="1:16" x14ac:dyDescent="0.2">
      <c r="F32" s="3">
        <v>20.399999999999999</v>
      </c>
      <c r="H32" s="3">
        <v>19</v>
      </c>
      <c r="I32" s="2">
        <v>1</v>
      </c>
    </row>
    <row r="33" spans="6:9" x14ac:dyDescent="0.2">
      <c r="F33" s="3">
        <v>21</v>
      </c>
      <c r="H33" s="3">
        <v>20</v>
      </c>
      <c r="I33" s="2">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C40B-39B7-1945-A18C-1A656D793DFF}">
  <dimension ref="A1:V93"/>
  <sheetViews>
    <sheetView workbookViewId="0">
      <selection sqref="A1:C21"/>
    </sheetView>
  </sheetViews>
  <sheetFormatPr baseColWidth="10" defaultRowHeight="16" x14ac:dyDescent="0.2"/>
  <cols>
    <col min="1" max="1" width="10.83203125" style="2"/>
    <col min="2" max="2" width="30.1640625" style="2" bestFit="1" customWidth="1"/>
    <col min="3" max="6" width="10.83203125" style="2"/>
    <col min="7" max="7" width="20.1640625" style="2" bestFit="1" customWidth="1"/>
    <col min="8" max="8" width="11" style="2" customWidth="1"/>
    <col min="9" max="16384" width="10.83203125" style="2"/>
  </cols>
  <sheetData>
    <row r="1" spans="1:22" x14ac:dyDescent="0.2">
      <c r="A1" s="4" t="s">
        <v>18</v>
      </c>
      <c r="B1" s="4" t="s">
        <v>19</v>
      </c>
      <c r="C1" s="4" t="s">
        <v>20</v>
      </c>
      <c r="F1" s="2" t="s">
        <v>21</v>
      </c>
    </row>
    <row r="2" spans="1:22" x14ac:dyDescent="0.2">
      <c r="A2" s="3">
        <v>2000</v>
      </c>
      <c r="B2" s="3">
        <v>14</v>
      </c>
      <c r="C2" s="3">
        <v>1</v>
      </c>
      <c r="F2" s="2" t="s">
        <v>22</v>
      </c>
    </row>
    <row r="3" spans="1:22" x14ac:dyDescent="0.2">
      <c r="A3" s="3">
        <v>2001</v>
      </c>
      <c r="B3" s="3">
        <v>14.9</v>
      </c>
      <c r="C3" s="3">
        <v>2</v>
      </c>
      <c r="F3" s="2" t="s">
        <v>3</v>
      </c>
    </row>
    <row r="4" spans="1:22" x14ac:dyDescent="0.2">
      <c r="A4" s="3">
        <v>2002</v>
      </c>
      <c r="B4" s="3">
        <v>14.5</v>
      </c>
      <c r="C4" s="3">
        <v>3</v>
      </c>
    </row>
    <row r="5" spans="1:22" x14ac:dyDescent="0.2">
      <c r="A5" s="3">
        <v>2003</v>
      </c>
      <c r="B5" s="3">
        <v>15.3</v>
      </c>
      <c r="C5" s="3">
        <v>4</v>
      </c>
    </row>
    <row r="6" spans="1:22" x14ac:dyDescent="0.2">
      <c r="A6" s="3">
        <v>2004</v>
      </c>
      <c r="B6" s="3">
        <v>15.3</v>
      </c>
      <c r="C6" s="3">
        <v>5</v>
      </c>
      <c r="F6" s="2" t="s">
        <v>23</v>
      </c>
    </row>
    <row r="7" spans="1:22" x14ac:dyDescent="0.2">
      <c r="A7" s="3">
        <v>2005</v>
      </c>
      <c r="B7" s="3">
        <v>15.2</v>
      </c>
      <c r="C7" s="3">
        <v>6</v>
      </c>
      <c r="F7" s="2">
        <v>1</v>
      </c>
      <c r="G7" s="2" t="s">
        <v>24</v>
      </c>
      <c r="H7" s="2" t="s">
        <v>25</v>
      </c>
      <c r="I7" s="2" t="s">
        <v>26</v>
      </c>
    </row>
    <row r="8" spans="1:22" x14ac:dyDescent="0.2">
      <c r="A8" s="3">
        <v>2006</v>
      </c>
      <c r="B8" s="3">
        <v>15.8</v>
      </c>
      <c r="C8" s="3">
        <v>7</v>
      </c>
      <c r="F8" s="2">
        <v>2</v>
      </c>
      <c r="G8" s="2" t="s">
        <v>27</v>
      </c>
      <c r="H8" s="2" t="s">
        <v>28</v>
      </c>
      <c r="I8" s="2" t="s">
        <v>29</v>
      </c>
    </row>
    <row r="9" spans="1:22" x14ac:dyDescent="0.2">
      <c r="A9" s="3">
        <v>2007</v>
      </c>
      <c r="B9" s="3">
        <v>16.5</v>
      </c>
      <c r="C9" s="3">
        <v>8</v>
      </c>
      <c r="F9" s="2">
        <v>3</v>
      </c>
      <c r="G9" s="2" t="s">
        <v>30</v>
      </c>
      <c r="H9" s="2" t="s">
        <v>31</v>
      </c>
    </row>
    <row r="10" spans="1:22" x14ac:dyDescent="0.2">
      <c r="A10" s="3">
        <v>2008</v>
      </c>
      <c r="B10" s="3">
        <v>16.600000000000001</v>
      </c>
      <c r="C10" s="3">
        <v>9</v>
      </c>
    </row>
    <row r="11" spans="1:22" x14ac:dyDescent="0.2">
      <c r="A11" s="3">
        <v>2009</v>
      </c>
      <c r="B11" s="3">
        <v>17</v>
      </c>
      <c r="C11" s="3">
        <v>10</v>
      </c>
    </row>
    <row r="12" spans="1:22" x14ac:dyDescent="0.2">
      <c r="A12" s="3">
        <v>2010</v>
      </c>
      <c r="B12" s="3">
        <v>17.7</v>
      </c>
      <c r="C12" s="3">
        <v>11</v>
      </c>
      <c r="F12" s="2" t="s">
        <v>4</v>
      </c>
      <c r="H12" s="2" t="s">
        <v>5</v>
      </c>
    </row>
    <row r="13" spans="1:22" x14ac:dyDescent="0.2">
      <c r="A13" s="3">
        <v>2011</v>
      </c>
      <c r="B13" s="3">
        <v>17.7</v>
      </c>
      <c r="C13" s="3">
        <v>12</v>
      </c>
      <c r="H13" s="2" t="s">
        <v>20</v>
      </c>
      <c r="I13" s="2" t="s">
        <v>8</v>
      </c>
      <c r="L13" s="2" t="s">
        <v>10</v>
      </c>
      <c r="O13" s="2" t="s">
        <v>32</v>
      </c>
      <c r="R13" s="2" t="s">
        <v>12</v>
      </c>
      <c r="T13" s="2" t="s">
        <v>13</v>
      </c>
    </row>
    <row r="14" spans="1:22" x14ac:dyDescent="0.2">
      <c r="A14" s="3">
        <v>2012</v>
      </c>
      <c r="B14" s="3">
        <v>18.8</v>
      </c>
      <c r="C14" s="3">
        <v>13</v>
      </c>
      <c r="F14" s="3">
        <v>14</v>
      </c>
      <c r="H14" s="3">
        <v>1</v>
      </c>
      <c r="I14" s="2">
        <v>1</v>
      </c>
      <c r="L14" s="2" cm="1">
        <f t="array" ref="L14:M15">MMULT(TRANSPOSE(H14:I33),H14:I33)</f>
        <v>2870</v>
      </c>
      <c r="M14" s="2">
        <v>210</v>
      </c>
      <c r="O14" s="2" cm="1">
        <f t="array" ref="O14:P15">MINVERSE(_xlfn.ANCHORARRAY(L14))</f>
        <v>1.5037593984962403E-3</v>
      </c>
      <c r="P14" s="2">
        <v>-1.5789473684210523E-2</v>
      </c>
      <c r="R14" s="2" cm="1">
        <f t="array" ref="R14:R15">MMULT(TRANSPOSE(H14:I33),F14:F33)</f>
        <v>3906.3999999999996</v>
      </c>
      <c r="T14" s="5" cm="1">
        <f t="array" ref="T14:T15">MMULT(_xlfn.ANCHORARRAY(O14),_xlfn.ANCHORARRAY(R14))</f>
        <v>0.37165413533834624</v>
      </c>
      <c r="V14" s="2" t="s">
        <v>36</v>
      </c>
    </row>
    <row r="15" spans="1:22" x14ac:dyDescent="0.2">
      <c r="A15" s="3">
        <v>2013</v>
      </c>
      <c r="B15" s="3">
        <v>18.7</v>
      </c>
      <c r="C15" s="3">
        <v>14</v>
      </c>
      <c r="F15" s="3">
        <v>14.9</v>
      </c>
      <c r="H15" s="3">
        <v>2</v>
      </c>
      <c r="I15" s="2">
        <v>1</v>
      </c>
      <c r="L15" s="2">
        <v>210</v>
      </c>
      <c r="M15" s="2">
        <v>20</v>
      </c>
      <c r="O15" s="2">
        <v>-1.5789473684210523E-2</v>
      </c>
      <c r="P15" s="2">
        <v>0.2157894736842105</v>
      </c>
      <c r="R15" s="2">
        <v>348.49999999999994</v>
      </c>
      <c r="T15" s="5">
        <v>13.522631578947362</v>
      </c>
    </row>
    <row r="16" spans="1:22" x14ac:dyDescent="0.2">
      <c r="A16" s="3">
        <v>2014</v>
      </c>
      <c r="B16" s="3">
        <v>19.100000000000001</v>
      </c>
      <c r="C16" s="3">
        <v>15</v>
      </c>
      <c r="F16" s="3">
        <v>14.5</v>
      </c>
      <c r="H16" s="3">
        <v>3</v>
      </c>
      <c r="I16" s="2">
        <v>1</v>
      </c>
    </row>
    <row r="17" spans="1:16" x14ac:dyDescent="0.2">
      <c r="A17" s="3">
        <v>2015</v>
      </c>
      <c r="B17" s="3">
        <v>19.600000000000001</v>
      </c>
      <c r="C17" s="3">
        <v>16</v>
      </c>
      <c r="F17" s="3">
        <v>15.3</v>
      </c>
      <c r="H17" s="3">
        <v>4</v>
      </c>
      <c r="I17" s="2">
        <v>1</v>
      </c>
    </row>
    <row r="18" spans="1:16" x14ac:dyDescent="0.2">
      <c r="A18" s="3">
        <v>2016</v>
      </c>
      <c r="B18" s="3">
        <v>20</v>
      </c>
      <c r="C18" s="3">
        <v>17</v>
      </c>
      <c r="F18" s="3">
        <v>15.3</v>
      </c>
      <c r="H18" s="3">
        <v>5</v>
      </c>
      <c r="I18" s="2">
        <v>1</v>
      </c>
      <c r="L18" s="2" t="s">
        <v>33</v>
      </c>
      <c r="M18" s="2" t="s">
        <v>34</v>
      </c>
      <c r="P18" s="5" t="s">
        <v>35</v>
      </c>
    </row>
    <row r="19" spans="1:16" x14ac:dyDescent="0.2">
      <c r="A19" s="3">
        <v>2017</v>
      </c>
      <c r="B19" s="3">
        <v>20.399999999999999</v>
      </c>
      <c r="C19" s="3">
        <v>18</v>
      </c>
      <c r="F19" s="3">
        <v>15.2</v>
      </c>
      <c r="H19" s="3">
        <v>6</v>
      </c>
      <c r="I19" s="2">
        <v>1</v>
      </c>
      <c r="L19" s="5" cm="1">
        <f t="array" ref="L19:M23">LINEST(B2:B21,C2:C21,TRUE,TRUE)</f>
        <v>0.37165413533834585</v>
      </c>
      <c r="M19" s="5">
        <v>13.522631578947365</v>
      </c>
    </row>
    <row r="20" spans="1:16" x14ac:dyDescent="0.2">
      <c r="A20" s="3">
        <v>2018</v>
      </c>
      <c r="B20" s="3">
        <v>20.399999999999999</v>
      </c>
      <c r="C20" s="3">
        <v>19</v>
      </c>
      <c r="F20" s="3">
        <v>15.8</v>
      </c>
      <c r="H20" s="3">
        <v>7</v>
      </c>
      <c r="I20" s="2">
        <v>1</v>
      </c>
      <c r="L20" s="2">
        <v>1.105609775211909E-2</v>
      </c>
      <c r="M20" s="2">
        <v>0.13244263736381587</v>
      </c>
    </row>
    <row r="21" spans="1:16" x14ac:dyDescent="0.2">
      <c r="A21" s="3">
        <v>2019</v>
      </c>
      <c r="B21" s="3">
        <v>21</v>
      </c>
      <c r="C21" s="3">
        <v>20</v>
      </c>
      <c r="F21" s="3">
        <v>16.5</v>
      </c>
      <c r="H21" s="3">
        <v>8</v>
      </c>
      <c r="I21" s="2">
        <v>1</v>
      </c>
      <c r="L21" s="2">
        <v>0.98432040666404663</v>
      </c>
      <c r="M21" s="2">
        <v>0.28511015913228088</v>
      </c>
    </row>
    <row r="22" spans="1:16" x14ac:dyDescent="0.2">
      <c r="F22" s="3">
        <v>16.600000000000001</v>
      </c>
      <c r="H22" s="3">
        <v>9</v>
      </c>
      <c r="I22" s="2">
        <v>1</v>
      </c>
      <c r="L22" s="2">
        <v>1129.9889570047719</v>
      </c>
      <c r="M22" s="2">
        <v>18</v>
      </c>
    </row>
    <row r="23" spans="1:16" x14ac:dyDescent="0.2">
      <c r="F23" s="3">
        <v>17</v>
      </c>
      <c r="H23" s="3">
        <v>10</v>
      </c>
      <c r="I23" s="2">
        <v>1</v>
      </c>
      <c r="L23" s="2">
        <v>91.854319548872141</v>
      </c>
      <c r="M23" s="2">
        <v>1.4631804511278215</v>
      </c>
    </row>
    <row r="24" spans="1:16" x14ac:dyDescent="0.2">
      <c r="F24" s="3">
        <v>17.7</v>
      </c>
      <c r="H24" s="3">
        <v>11</v>
      </c>
      <c r="I24" s="2">
        <v>1</v>
      </c>
    </row>
    <row r="25" spans="1:16" x14ac:dyDescent="0.2">
      <c r="F25" s="3">
        <v>17.7</v>
      </c>
      <c r="H25" s="3">
        <v>12</v>
      </c>
      <c r="I25" s="2">
        <v>1</v>
      </c>
    </row>
    <row r="26" spans="1:16" x14ac:dyDescent="0.2">
      <c r="F26" s="3">
        <v>18.8</v>
      </c>
      <c r="H26" s="3">
        <v>13</v>
      </c>
      <c r="I26" s="2">
        <v>1</v>
      </c>
      <c r="L26" s="2" t="s">
        <v>37</v>
      </c>
      <c r="M26" s="2" t="s">
        <v>38</v>
      </c>
    </row>
    <row r="27" spans="1:16" x14ac:dyDescent="0.2">
      <c r="F27" s="3">
        <v>18.7</v>
      </c>
      <c r="H27" s="3">
        <v>14</v>
      </c>
      <c r="I27" s="2">
        <v>1</v>
      </c>
    </row>
    <row r="28" spans="1:16" x14ac:dyDescent="0.2">
      <c r="F28" s="3">
        <v>19.100000000000001</v>
      </c>
      <c r="H28" s="3">
        <v>15</v>
      </c>
      <c r="I28" s="2">
        <v>1</v>
      </c>
    </row>
    <row r="29" spans="1:16" x14ac:dyDescent="0.2">
      <c r="F29" s="3">
        <v>19.600000000000001</v>
      </c>
      <c r="H29" s="3">
        <v>16</v>
      </c>
      <c r="I29" s="2">
        <v>1</v>
      </c>
    </row>
    <row r="30" spans="1:16" x14ac:dyDescent="0.2">
      <c r="F30" s="3">
        <v>20</v>
      </c>
      <c r="H30" s="3">
        <v>17</v>
      </c>
      <c r="I30" s="2">
        <v>1</v>
      </c>
    </row>
    <row r="31" spans="1:16" x14ac:dyDescent="0.2">
      <c r="F31" s="3">
        <v>20.399999999999999</v>
      </c>
      <c r="H31" s="3">
        <v>18</v>
      </c>
      <c r="I31" s="2">
        <v>1</v>
      </c>
    </row>
    <row r="32" spans="1:16" x14ac:dyDescent="0.2">
      <c r="F32" s="3">
        <v>20.399999999999999</v>
      </c>
      <c r="H32" s="3">
        <v>19</v>
      </c>
      <c r="I32" s="2">
        <v>1</v>
      </c>
    </row>
    <row r="33" spans="2:10" x14ac:dyDescent="0.2">
      <c r="F33" s="3">
        <v>21</v>
      </c>
      <c r="H33" s="3">
        <v>20</v>
      </c>
      <c r="I33" s="2">
        <v>1</v>
      </c>
    </row>
    <row r="43" spans="2:10" s="6" customFormat="1" x14ac:dyDescent="0.2">
      <c r="B43" s="6" t="s">
        <v>47</v>
      </c>
    </row>
    <row r="45" spans="2:10" x14ac:dyDescent="0.2">
      <c r="B45" s="2" t="s">
        <v>43</v>
      </c>
      <c r="F45" s="2" t="s">
        <v>48</v>
      </c>
      <c r="H45" s="2" t="s">
        <v>40</v>
      </c>
      <c r="J45" s="2" t="s">
        <v>41</v>
      </c>
    </row>
    <row r="46" spans="2:10" x14ac:dyDescent="0.2">
      <c r="B46" s="2">
        <f>H46-(1/F46)*J46^2</f>
        <v>93.317500000001928</v>
      </c>
      <c r="F46" s="2">
        <v>20</v>
      </c>
      <c r="H46" s="2" cm="1">
        <f t="array" ref="H46">MMULT(TRANSPOSE(F14:F33),F14:F33)</f>
        <v>6165.93</v>
      </c>
      <c r="J46" s="2" cm="1">
        <f t="array" ref="J46">MMULT(TRANSPOSE(I14:I33),F14:F33)</f>
        <v>348.49999999999994</v>
      </c>
    </row>
    <row r="48" spans="2:10" x14ac:dyDescent="0.2">
      <c r="B48" s="2" t="s">
        <v>44</v>
      </c>
    </row>
    <row r="49" spans="1:9" x14ac:dyDescent="0.2">
      <c r="B49" s="2" cm="1">
        <f t="array" ref="B49">H46-MMULT(TRANSPOSE(_xlfn.ANCHORARRAY(T14)),_xlfn.ANCHORARRAY(R14))</f>
        <v>1.4631804511300288</v>
      </c>
    </row>
    <row r="51" spans="1:9" x14ac:dyDescent="0.2">
      <c r="B51" s="2" t="s">
        <v>45</v>
      </c>
    </row>
    <row r="52" spans="1:9" x14ac:dyDescent="0.2">
      <c r="B52" s="2">
        <f>B46-B49</f>
        <v>91.854319548871899</v>
      </c>
      <c r="D52" s="5" t="s">
        <v>46</v>
      </c>
      <c r="E52" s="5">
        <f>B52/B46</f>
        <v>0.98432040666402343</v>
      </c>
    </row>
    <row r="55" spans="1:9" s="6" customFormat="1" x14ac:dyDescent="0.2">
      <c r="A55" s="6" t="s">
        <v>49</v>
      </c>
    </row>
    <row r="57" spans="1:9" x14ac:dyDescent="0.2">
      <c r="B57" s="2" t="s">
        <v>54</v>
      </c>
      <c r="C57" s="7">
        <f>G57/G59</f>
        <v>1.636213251836419E-2</v>
      </c>
      <c r="F57" s="2" t="s">
        <v>51</v>
      </c>
      <c r="G57" s="2">
        <f>SQRT(B49/(F46-I58))</f>
        <v>0.28511015913249593</v>
      </c>
      <c r="I57" s="2" t="s">
        <v>55</v>
      </c>
    </row>
    <row r="58" spans="1:9" x14ac:dyDescent="0.2">
      <c r="I58" s="2">
        <v>2</v>
      </c>
    </row>
    <row r="59" spans="1:9" x14ac:dyDescent="0.2">
      <c r="F59" s="2" t="s">
        <v>56</v>
      </c>
      <c r="G59" s="2">
        <f>AVERAGE(F14:F33)</f>
        <v>17.424999999999997</v>
      </c>
    </row>
    <row r="62" spans="1:9" s="6" customFormat="1" x14ac:dyDescent="0.2">
      <c r="A62" s="6" t="s">
        <v>57</v>
      </c>
    </row>
    <row r="63" spans="1:9" x14ac:dyDescent="0.2">
      <c r="B63" s="2" t="s">
        <v>58</v>
      </c>
      <c r="C63" s="2">
        <f>G57*SQRT(O14)</f>
        <v>1.1056097752127431E-2</v>
      </c>
      <c r="E63" s="2" t="s">
        <v>60</v>
      </c>
      <c r="F63" s="2">
        <f>G57*SQRT(P15)</f>
        <v>0.13244263736391579</v>
      </c>
    </row>
    <row r="64" spans="1:9" x14ac:dyDescent="0.2">
      <c r="B64" s="2" t="s">
        <v>59</v>
      </c>
      <c r="C64" s="2">
        <f>T14/C63</f>
        <v>33.615308372868903</v>
      </c>
      <c r="E64" s="2" t="s">
        <v>61</v>
      </c>
      <c r="F64" s="2">
        <f>T15/F63</f>
        <v>102.10179930040886</v>
      </c>
    </row>
    <row r="66" spans="1:8" x14ac:dyDescent="0.2">
      <c r="B66" s="2" t="s">
        <v>62</v>
      </c>
    </row>
    <row r="67" spans="1:8" x14ac:dyDescent="0.2">
      <c r="B67" s="2" t="s">
        <v>63</v>
      </c>
      <c r="C67" s="2">
        <v>0.05</v>
      </c>
    </row>
    <row r="68" spans="1:8" x14ac:dyDescent="0.2">
      <c r="B68" s="2" t="s">
        <v>64</v>
      </c>
      <c r="C68" s="2">
        <f>L46-L57</f>
        <v>0</v>
      </c>
    </row>
    <row r="69" spans="1:8" x14ac:dyDescent="0.2">
      <c r="B69" s="2" t="s">
        <v>65</v>
      </c>
      <c r="C69" s="5">
        <f>F46-I58</f>
        <v>18</v>
      </c>
    </row>
    <row r="71" spans="1:8" x14ac:dyDescent="0.2">
      <c r="B71" s="2" t="s">
        <v>66</v>
      </c>
    </row>
    <row r="72" spans="1:8" x14ac:dyDescent="0.2">
      <c r="B72" s="2" t="s">
        <v>67</v>
      </c>
      <c r="C72" s="2">
        <f>ABS(C64)</f>
        <v>33.615308372868903</v>
      </c>
      <c r="E72" s="2" t="s">
        <v>68</v>
      </c>
      <c r="F72" s="2">
        <f>ABS(F64)</f>
        <v>102.10179930040886</v>
      </c>
      <c r="H72" s="2" t="s">
        <v>69</v>
      </c>
    </row>
    <row r="75" spans="1:8" s="6" customFormat="1" x14ac:dyDescent="0.2">
      <c r="A75" s="6" t="s">
        <v>70</v>
      </c>
    </row>
    <row r="77" spans="1:8" x14ac:dyDescent="0.2">
      <c r="B77" s="2" t="s">
        <v>71</v>
      </c>
    </row>
    <row r="79" spans="1:8" x14ac:dyDescent="0.2">
      <c r="B79" s="2" t="s">
        <v>72</v>
      </c>
      <c r="C79" s="2">
        <v>0.95</v>
      </c>
      <c r="E79" s="2" t="s">
        <v>73</v>
      </c>
      <c r="F79" s="2">
        <v>0.05</v>
      </c>
    </row>
    <row r="80" spans="1:8" x14ac:dyDescent="0.2">
      <c r="B80" s="2" t="s">
        <v>74</v>
      </c>
      <c r="C80" s="2">
        <v>18</v>
      </c>
    </row>
    <row r="81" spans="1:6" x14ac:dyDescent="0.2">
      <c r="B81" s="2" t="s">
        <v>75</v>
      </c>
      <c r="C81" s="5">
        <f>_xlfn.T.INV.2T(F79,C80)</f>
        <v>2.1009220402410378</v>
      </c>
    </row>
    <row r="84" spans="1:6" x14ac:dyDescent="0.2">
      <c r="B84" s="2" t="s">
        <v>76</v>
      </c>
      <c r="C84" s="2">
        <f>C63*C81</f>
        <v>2.3227999446503913E-2</v>
      </c>
      <c r="E84" s="2" t="s">
        <v>77</v>
      </c>
      <c r="F84" s="2">
        <f>F63*C81</f>
        <v>0.27825165590550188</v>
      </c>
    </row>
    <row r="86" spans="1:6" x14ac:dyDescent="0.2">
      <c r="B86" s="2" t="s">
        <v>78</v>
      </c>
    </row>
    <row r="87" spans="1:6" x14ac:dyDescent="0.2">
      <c r="B87" s="2" t="s">
        <v>79</v>
      </c>
      <c r="C87" s="2">
        <f>T14-C84</f>
        <v>0.34842613589184235</v>
      </c>
      <c r="F87" s="2">
        <f>T15-F84</f>
        <v>13.24437992304186</v>
      </c>
    </row>
    <row r="88" spans="1:6" x14ac:dyDescent="0.2">
      <c r="B88" s="2" t="s">
        <v>80</v>
      </c>
      <c r="C88" s="2">
        <f>T14+C84</f>
        <v>0.39488213478485013</v>
      </c>
      <c r="F88" s="2">
        <f>T15+F84</f>
        <v>13.800883234852863</v>
      </c>
    </row>
    <row r="91" spans="1:6" s="6" customFormat="1" x14ac:dyDescent="0.2">
      <c r="A91" s="6" t="s">
        <v>81</v>
      </c>
    </row>
    <row r="93" spans="1:6" x14ac:dyDescent="0.2">
      <c r="B93" s="2" t="s">
        <v>82</v>
      </c>
      <c r="C93" s="9" t="s">
        <v>83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73CB-9A18-324D-B361-3312113F3F98}">
  <dimension ref="A1:J47"/>
  <sheetViews>
    <sheetView topLeftCell="A20" workbookViewId="0">
      <selection activeCell="G43" sqref="G43"/>
    </sheetView>
  </sheetViews>
  <sheetFormatPr baseColWidth="10" defaultRowHeight="16" x14ac:dyDescent="0.2"/>
  <cols>
    <col min="1" max="2" width="14.1640625" style="2" bestFit="1" customWidth="1"/>
    <col min="3" max="16384" width="10.83203125" style="2"/>
  </cols>
  <sheetData>
    <row r="1" spans="1:8" s="6" customFormat="1" x14ac:dyDescent="0.2">
      <c r="B1" s="6" t="s">
        <v>107</v>
      </c>
    </row>
    <row r="3" spans="1:8" x14ac:dyDescent="0.2">
      <c r="A3" s="4" t="s">
        <v>97</v>
      </c>
      <c r="B3" s="4" t="s">
        <v>98</v>
      </c>
      <c r="C3" s="4" t="s">
        <v>20</v>
      </c>
      <c r="D3" s="3" t="s">
        <v>85</v>
      </c>
      <c r="E3" s="3" t="s">
        <v>86</v>
      </c>
      <c r="F3" s="3" t="s">
        <v>87</v>
      </c>
      <c r="G3" s="3" t="s">
        <v>88</v>
      </c>
      <c r="H3" s="3" t="s">
        <v>89</v>
      </c>
    </row>
    <row r="4" spans="1:8" x14ac:dyDescent="0.2">
      <c r="A4" s="3">
        <v>28.2</v>
      </c>
      <c r="B4" s="3">
        <v>252</v>
      </c>
      <c r="C4" s="2">
        <v>1</v>
      </c>
      <c r="D4" s="2">
        <f>$A$18*C4+$B$18</f>
        <v>3.7999999999999958</v>
      </c>
      <c r="E4" s="2">
        <f>C4-D4</f>
        <v>-2.7999999999999958</v>
      </c>
      <c r="F4" s="2">
        <f>E4^2</f>
        <v>7.8399999999999768</v>
      </c>
      <c r="G4" s="2">
        <f>E4^3</f>
        <v>-21.951999999999902</v>
      </c>
      <c r="H4" s="2">
        <f>D4^4</f>
        <v>208.51359999999906</v>
      </c>
    </row>
    <row r="5" spans="1:8" x14ac:dyDescent="0.2">
      <c r="A5" s="3">
        <v>31.7</v>
      </c>
      <c r="B5" s="3">
        <v>286</v>
      </c>
      <c r="C5" s="2">
        <v>2</v>
      </c>
      <c r="D5" s="2">
        <f t="shared" ref="D5:D15" si="0">$A$18*C5+$B$18</f>
        <v>3.8999999999999959</v>
      </c>
      <c r="E5" s="2">
        <f t="shared" ref="E5:E15" si="1">C5-D5</f>
        <v>-1.8999999999999959</v>
      </c>
      <c r="F5" s="2">
        <f t="shared" ref="F5:F15" si="2">E5^2</f>
        <v>3.6099999999999843</v>
      </c>
      <c r="G5" s="2">
        <f t="shared" ref="G5:G15" si="3">E5^3</f>
        <v>-6.8589999999999556</v>
      </c>
      <c r="H5" s="2">
        <f t="shared" ref="H5:H15" si="4">D5^4</f>
        <v>231.34409999999906</v>
      </c>
    </row>
    <row r="6" spans="1:8" x14ac:dyDescent="0.2">
      <c r="A6" s="3">
        <v>31.1</v>
      </c>
      <c r="B6" s="3">
        <v>274</v>
      </c>
      <c r="C6" s="2">
        <v>3</v>
      </c>
      <c r="D6" s="2">
        <f t="shared" si="0"/>
        <v>3.9999999999999956</v>
      </c>
      <c r="E6" s="2">
        <f t="shared" si="1"/>
        <v>-0.99999999999999556</v>
      </c>
      <c r="F6" s="2">
        <f t="shared" si="2"/>
        <v>0.99999999999999112</v>
      </c>
      <c r="G6" s="2">
        <f t="shared" si="3"/>
        <v>-0.99999999999998668</v>
      </c>
      <c r="H6" s="2">
        <f t="shared" si="4"/>
        <v>255.99999999999886</v>
      </c>
    </row>
    <row r="7" spans="1:8" x14ac:dyDescent="0.2">
      <c r="A7" s="3">
        <v>30.1</v>
      </c>
      <c r="B7" s="3">
        <v>260</v>
      </c>
      <c r="C7" s="2">
        <v>4</v>
      </c>
      <c r="D7" s="2">
        <f t="shared" si="0"/>
        <v>4.0999999999999961</v>
      </c>
      <c r="E7" s="2">
        <f t="shared" si="1"/>
        <v>-9.9999999999996092E-2</v>
      </c>
      <c r="F7" s="2">
        <f t="shared" si="2"/>
        <v>9.9999999999992178E-3</v>
      </c>
      <c r="G7" s="2">
        <f t="shared" si="3"/>
        <v>-9.9999999999988271E-4</v>
      </c>
      <c r="H7" s="2">
        <f t="shared" si="4"/>
        <v>282.57609999999886</v>
      </c>
    </row>
    <row r="8" spans="1:8" x14ac:dyDescent="0.2">
      <c r="A8" s="3">
        <v>35.299999999999997</v>
      </c>
      <c r="B8" s="3">
        <v>314</v>
      </c>
      <c r="C8" s="2">
        <v>5</v>
      </c>
      <c r="D8" s="2">
        <f t="shared" si="0"/>
        <v>4.1999999999999957</v>
      </c>
      <c r="E8" s="2">
        <f t="shared" si="1"/>
        <v>0.80000000000000426</v>
      </c>
      <c r="F8" s="2">
        <f t="shared" si="2"/>
        <v>0.64000000000000679</v>
      </c>
      <c r="G8" s="2">
        <f t="shared" si="3"/>
        <v>0.51200000000000812</v>
      </c>
      <c r="H8" s="2">
        <f t="shared" si="4"/>
        <v>311.16959999999875</v>
      </c>
    </row>
    <row r="9" spans="1:8" x14ac:dyDescent="0.2">
      <c r="A9" s="3">
        <v>34.200000000000003</v>
      </c>
      <c r="B9" s="3">
        <v>302</v>
      </c>
      <c r="C9" s="2">
        <v>6</v>
      </c>
      <c r="D9" s="2">
        <f t="shared" si="0"/>
        <v>4.2999999999999954</v>
      </c>
      <c r="E9" s="2">
        <f t="shared" si="1"/>
        <v>1.7000000000000046</v>
      </c>
      <c r="F9" s="2">
        <f t="shared" si="2"/>
        <v>2.8900000000000157</v>
      </c>
      <c r="G9" s="2">
        <f t="shared" si="3"/>
        <v>4.9130000000000402</v>
      </c>
      <c r="H9" s="2">
        <f t="shared" si="4"/>
        <v>341.88009999999849</v>
      </c>
    </row>
    <row r="10" spans="1:8" x14ac:dyDescent="0.2">
      <c r="A10" s="3">
        <v>35.200000000000003</v>
      </c>
      <c r="B10" s="3">
        <v>312</v>
      </c>
      <c r="C10" s="2">
        <v>7</v>
      </c>
      <c r="D10" s="2">
        <f t="shared" si="0"/>
        <v>4.3999999999999959</v>
      </c>
      <c r="E10" s="2">
        <f t="shared" si="1"/>
        <v>2.6000000000000041</v>
      </c>
      <c r="F10" s="2">
        <f t="shared" si="2"/>
        <v>6.7600000000000211</v>
      </c>
      <c r="G10" s="2">
        <f t="shared" si="3"/>
        <v>17.576000000000082</v>
      </c>
      <c r="H10" s="2">
        <f t="shared" si="4"/>
        <v>374.80959999999862</v>
      </c>
    </row>
    <row r="11" spans="1:8" x14ac:dyDescent="0.2">
      <c r="A11" s="3">
        <v>35.299999999999997</v>
      </c>
      <c r="B11" s="3">
        <v>314</v>
      </c>
      <c r="C11" s="2">
        <v>8</v>
      </c>
      <c r="D11" s="2">
        <f t="shared" si="0"/>
        <v>4.4999999999999956</v>
      </c>
      <c r="E11" s="2">
        <f t="shared" si="1"/>
        <v>3.5000000000000044</v>
      </c>
      <c r="F11" s="2">
        <f t="shared" si="2"/>
        <v>12.250000000000032</v>
      </c>
      <c r="G11" s="2">
        <f t="shared" si="3"/>
        <v>42.875000000000163</v>
      </c>
      <c r="H11" s="2">
        <f t="shared" si="4"/>
        <v>410.06249999999841</v>
      </c>
    </row>
    <row r="12" spans="1:8" x14ac:dyDescent="0.2">
      <c r="A12" s="3">
        <v>32.700000000000003</v>
      </c>
      <c r="B12" s="3">
        <v>284</v>
      </c>
      <c r="C12" s="2">
        <v>9</v>
      </c>
      <c r="D12" s="2">
        <f t="shared" si="0"/>
        <v>4.5999999999999961</v>
      </c>
      <c r="E12" s="2">
        <f t="shared" si="1"/>
        <v>4.4000000000000039</v>
      </c>
      <c r="F12" s="2">
        <f t="shared" si="2"/>
        <v>19.360000000000035</v>
      </c>
      <c r="G12" s="2">
        <f t="shared" si="3"/>
        <v>85.184000000000225</v>
      </c>
      <c r="H12" s="2">
        <f t="shared" si="4"/>
        <v>447.74559999999849</v>
      </c>
    </row>
    <row r="13" spans="1:8" x14ac:dyDescent="0.2">
      <c r="A13" s="3">
        <v>24.1</v>
      </c>
      <c r="B13" s="3">
        <v>202</v>
      </c>
      <c r="C13" s="2">
        <v>10</v>
      </c>
      <c r="D13" s="2">
        <f t="shared" si="0"/>
        <v>4.6999999999999957</v>
      </c>
      <c r="E13" s="2">
        <f t="shared" si="1"/>
        <v>5.3000000000000043</v>
      </c>
      <c r="F13" s="2">
        <f t="shared" si="2"/>
        <v>28.090000000000046</v>
      </c>
      <c r="G13" s="2">
        <f t="shared" si="3"/>
        <v>148.87700000000035</v>
      </c>
      <c r="H13" s="2">
        <f t="shared" si="4"/>
        <v>487.96809999999829</v>
      </c>
    </row>
    <row r="14" spans="1:8" x14ac:dyDescent="0.2">
      <c r="A14" s="3">
        <v>35.200000000000003</v>
      </c>
      <c r="B14" s="3">
        <v>318</v>
      </c>
      <c r="C14" s="2">
        <v>11</v>
      </c>
      <c r="D14" s="2">
        <f t="shared" si="0"/>
        <v>4.7999999999999954</v>
      </c>
      <c r="E14" s="2">
        <f t="shared" si="1"/>
        <v>6.2000000000000046</v>
      </c>
      <c r="F14" s="2">
        <f t="shared" si="2"/>
        <v>38.440000000000055</v>
      </c>
      <c r="G14" s="2">
        <f t="shared" si="3"/>
        <v>238.32800000000051</v>
      </c>
      <c r="H14" s="2">
        <f t="shared" si="4"/>
        <v>530.84159999999804</v>
      </c>
    </row>
    <row r="15" spans="1:8" x14ac:dyDescent="0.2">
      <c r="A15" s="3">
        <v>33.299999999999997</v>
      </c>
      <c r="B15" s="3">
        <v>302</v>
      </c>
      <c r="C15" s="2">
        <v>12</v>
      </c>
      <c r="D15" s="2">
        <f t="shared" si="0"/>
        <v>4.8999999999999959</v>
      </c>
      <c r="E15" s="2">
        <f t="shared" si="1"/>
        <v>7.1000000000000041</v>
      </c>
      <c r="F15" s="2">
        <f t="shared" si="2"/>
        <v>50.410000000000061</v>
      </c>
      <c r="G15" s="2">
        <f t="shared" si="3"/>
        <v>357.91100000000063</v>
      </c>
      <c r="H15" s="2">
        <f t="shared" si="4"/>
        <v>576.48009999999806</v>
      </c>
    </row>
    <row r="16" spans="1:8" x14ac:dyDescent="0.2">
      <c r="F16" s="2">
        <f>SUM(F4:F15)</f>
        <v>171.30000000000021</v>
      </c>
      <c r="G16" s="2">
        <f t="shared" ref="G16:H16" si="5">SUM(G4:G15)</f>
        <v>866.36400000000219</v>
      </c>
      <c r="H16" s="2">
        <f t="shared" si="5"/>
        <v>4459.3909999999823</v>
      </c>
    </row>
    <row r="18" spans="1:10" x14ac:dyDescent="0.2">
      <c r="A18" s="5" cm="1">
        <f t="array" ref="A18:B22">LINEST(A4:A15,B4:B15,TRUE,TRUE)</f>
        <v>0.1</v>
      </c>
      <c r="B18" s="5">
        <v>3.6999999999999957</v>
      </c>
      <c r="D18" s="2" t="s">
        <v>91</v>
      </c>
      <c r="E18" s="2">
        <f>(1/12*G16)/(SQRT(1/12*F16)^3)</f>
        <v>1.3386128088455194</v>
      </c>
      <c r="G18" s="2" t="s">
        <v>95</v>
      </c>
      <c r="H18" s="2">
        <f>12/6*(E18^2+1/4*(E20-3)^2)</f>
        <v>11.150491809031401</v>
      </c>
      <c r="J18" s="9" t="s">
        <v>99</v>
      </c>
    </row>
    <row r="19" spans="1:10" x14ac:dyDescent="0.2">
      <c r="A19" s="2">
        <v>4.0690694065936518E-3</v>
      </c>
      <c r="B19" s="2">
        <v>1.167276941290919</v>
      </c>
    </row>
    <row r="20" spans="1:10" x14ac:dyDescent="0.2">
      <c r="A20" s="2">
        <v>0.98371235402581436</v>
      </c>
      <c r="B20" s="2">
        <v>0.46043457732885446</v>
      </c>
      <c r="D20" s="2" t="s">
        <v>92</v>
      </c>
      <c r="E20" s="2">
        <f>(1/12*H16)/(SQRT(1/12*F16)^3)</f>
        <v>6.8901730822730292</v>
      </c>
      <c r="G20" s="2" t="s">
        <v>96</v>
      </c>
      <c r="H20" s="2">
        <f>_xlfn.CHISQ.INV.RT(0.05,2)</f>
        <v>5.9914645471079817</v>
      </c>
    </row>
    <row r="21" spans="1:10" x14ac:dyDescent="0.2">
      <c r="A21" s="2">
        <v>603.96226415094088</v>
      </c>
      <c r="B21" s="2">
        <v>10</v>
      </c>
    </row>
    <row r="22" spans="1:10" x14ac:dyDescent="0.2">
      <c r="A22" s="2">
        <v>128.04</v>
      </c>
      <c r="B22" s="2">
        <v>2.1200000000000085</v>
      </c>
    </row>
    <row r="24" spans="1:10" s="6" customFormat="1" x14ac:dyDescent="0.2">
      <c r="B24" s="6" t="s">
        <v>100</v>
      </c>
    </row>
    <row r="27" spans="1:10" x14ac:dyDescent="0.2">
      <c r="A27" s="2" t="s">
        <v>102</v>
      </c>
      <c r="B27" s="2">
        <f>12*A20</f>
        <v>11.804548248309771</v>
      </c>
      <c r="D27" s="9" t="s">
        <v>99</v>
      </c>
    </row>
    <row r="30" spans="1:10" s="6" customFormat="1" x14ac:dyDescent="0.2">
      <c r="B30" s="6" t="s">
        <v>103</v>
      </c>
    </row>
    <row r="32" spans="1:10" x14ac:dyDescent="0.2">
      <c r="A32" s="2" t="s">
        <v>114</v>
      </c>
      <c r="B32" s="2" t="s">
        <v>115</v>
      </c>
      <c r="C32" s="4" t="s">
        <v>20</v>
      </c>
      <c r="D32" s="3" t="s">
        <v>85</v>
      </c>
      <c r="E32" s="3" t="s">
        <v>86</v>
      </c>
      <c r="F32" s="2" t="s">
        <v>104</v>
      </c>
      <c r="G32" s="2" t="s">
        <v>105</v>
      </c>
    </row>
    <row r="33" spans="1:7" x14ac:dyDescent="0.2">
      <c r="A33" s="2">
        <v>1</v>
      </c>
      <c r="B33" s="2">
        <v>4.75</v>
      </c>
      <c r="C33" s="2">
        <v>1</v>
      </c>
      <c r="D33" s="2">
        <f>$A$43*C33+$B$43</f>
        <v>-0.85734430082256419</v>
      </c>
      <c r="E33" s="2">
        <f>C33-D33</f>
        <v>1.8573443008225641</v>
      </c>
      <c r="G33" s="2">
        <f>E33^2</f>
        <v>3.4497278517980594</v>
      </c>
    </row>
    <row r="34" spans="1:7" x14ac:dyDescent="0.2">
      <c r="A34" s="2">
        <v>2</v>
      </c>
      <c r="B34" s="2">
        <v>7.25</v>
      </c>
      <c r="C34" s="2">
        <v>2</v>
      </c>
      <c r="D34" s="2">
        <f t="shared" ref="D34:D40" si="6">$A$43*C34+$B$43</f>
        <v>-0.34406580493537242</v>
      </c>
      <c r="E34" s="2">
        <f t="shared" ref="E34:E40" si="7">C34-D34</f>
        <v>2.3440658049353722</v>
      </c>
      <c r="F34" s="2">
        <f>(E34-E33)^2</f>
        <v>0.2368978225658343</v>
      </c>
      <c r="G34" s="2">
        <f t="shared" ref="G34:G40" si="8">E34^2</f>
        <v>5.4946444978673146</v>
      </c>
    </row>
    <row r="35" spans="1:7" x14ac:dyDescent="0.2">
      <c r="A35" s="2">
        <v>3</v>
      </c>
      <c r="B35" s="2">
        <v>8.75</v>
      </c>
      <c r="C35" s="2">
        <v>3</v>
      </c>
      <c r="D35" s="2">
        <f t="shared" si="6"/>
        <v>0.16921269095181923</v>
      </c>
      <c r="E35" s="2">
        <f t="shared" si="7"/>
        <v>2.8307873090481808</v>
      </c>
      <c r="F35" s="2">
        <f t="shared" ref="F35:F40" si="9">(E35-E34)^2</f>
        <v>0.23689782256583472</v>
      </c>
      <c r="G35" s="2">
        <f t="shared" si="8"/>
        <v>8.01335678906824</v>
      </c>
    </row>
    <row r="36" spans="1:7" x14ac:dyDescent="0.2">
      <c r="A36" s="2">
        <v>4</v>
      </c>
      <c r="B36" s="2">
        <v>11.25</v>
      </c>
      <c r="C36" s="2">
        <v>4</v>
      </c>
      <c r="D36" s="2">
        <f t="shared" si="6"/>
        <v>0.68249118683901111</v>
      </c>
      <c r="E36" s="2">
        <f t="shared" si="7"/>
        <v>3.3175088131609889</v>
      </c>
      <c r="F36" s="2">
        <f t="shared" si="9"/>
        <v>0.2368978225658343</v>
      </c>
      <c r="G36" s="2">
        <f t="shared" si="8"/>
        <v>11.005864725400833</v>
      </c>
    </row>
    <row r="37" spans="1:7" x14ac:dyDescent="0.2">
      <c r="A37" s="2">
        <v>5</v>
      </c>
      <c r="B37" s="2">
        <v>12</v>
      </c>
      <c r="C37" s="2">
        <v>5</v>
      </c>
      <c r="D37" s="2">
        <f t="shared" si="6"/>
        <v>1.195769682726203</v>
      </c>
      <c r="E37" s="2">
        <f t="shared" si="7"/>
        <v>3.804230317273797</v>
      </c>
      <c r="F37" s="2">
        <f t="shared" si="9"/>
        <v>0.2368978225658343</v>
      </c>
      <c r="G37" s="2">
        <f t="shared" si="8"/>
        <v>14.472168306865095</v>
      </c>
    </row>
    <row r="38" spans="1:7" x14ac:dyDescent="0.2">
      <c r="A38" s="2">
        <v>6</v>
      </c>
      <c r="B38" s="2">
        <v>17</v>
      </c>
      <c r="C38" s="2">
        <v>6</v>
      </c>
      <c r="D38" s="2">
        <f t="shared" si="6"/>
        <v>1.7090481786133944</v>
      </c>
      <c r="E38" s="2">
        <f t="shared" si="7"/>
        <v>4.2909518213866056</v>
      </c>
      <c r="F38" s="2">
        <f t="shared" si="9"/>
        <v>0.23689782256583472</v>
      </c>
      <c r="G38" s="2">
        <f t="shared" si="8"/>
        <v>18.412267533461026</v>
      </c>
    </row>
    <row r="39" spans="1:7" x14ac:dyDescent="0.2">
      <c r="A39" s="2">
        <v>7</v>
      </c>
      <c r="B39" s="2">
        <v>16.5</v>
      </c>
      <c r="C39" s="2">
        <v>7</v>
      </c>
      <c r="D39" s="2">
        <f t="shared" si="6"/>
        <v>2.2223266745005863</v>
      </c>
      <c r="E39" s="2">
        <f t="shared" si="7"/>
        <v>4.7776733254994141</v>
      </c>
      <c r="F39" s="2">
        <f t="shared" si="9"/>
        <v>0.23689782256583472</v>
      </c>
      <c r="G39" s="2">
        <f t="shared" si="8"/>
        <v>22.826162405188629</v>
      </c>
    </row>
    <row r="40" spans="1:7" x14ac:dyDescent="0.2">
      <c r="A40" s="2">
        <v>8</v>
      </c>
      <c r="B40" s="2">
        <v>14</v>
      </c>
      <c r="C40" s="2">
        <v>8</v>
      </c>
      <c r="D40" s="2">
        <f t="shared" si="6"/>
        <v>2.7356051703877782</v>
      </c>
      <c r="E40" s="2">
        <f t="shared" si="7"/>
        <v>5.2643948296122218</v>
      </c>
      <c r="F40" s="2">
        <f t="shared" si="9"/>
        <v>0.23689782256583386</v>
      </c>
      <c r="G40" s="2">
        <f t="shared" si="8"/>
        <v>27.713852922047895</v>
      </c>
    </row>
    <row r="41" spans="1:7" x14ac:dyDescent="0.2">
      <c r="F41" s="2">
        <f>SUM(F34:F40)</f>
        <v>1.6582847579608408</v>
      </c>
      <c r="G41" s="2">
        <f>SUM(G34:G40)</f>
        <v>107.93831717989903</v>
      </c>
    </row>
    <row r="43" spans="1:7" x14ac:dyDescent="0.2">
      <c r="A43" s="2" cm="1">
        <f t="array" ref="A43:B47">LINEST(A33:A40,B33:B40,1,1)</f>
        <v>0.51327849588719177</v>
      </c>
      <c r="B43" s="2">
        <v>-1.370622796709756</v>
      </c>
      <c r="D43" s="2" t="s">
        <v>106</v>
      </c>
      <c r="E43" s="2">
        <f>F41/G41</f>
        <v>1.5363263031023587E-2</v>
      </c>
      <c r="G43" s="9" t="s">
        <v>99</v>
      </c>
    </row>
    <row r="44" spans="1:7" x14ac:dyDescent="0.2">
      <c r="A44" s="2">
        <v>9.3460219199146974E-2</v>
      </c>
      <c r="B44" s="2">
        <v>1.1348299117908427</v>
      </c>
    </row>
    <row r="45" spans="1:7" x14ac:dyDescent="0.2">
      <c r="A45" s="2">
        <v>0.83407755581668619</v>
      </c>
      <c r="B45" s="2">
        <v>1.0777091951371651</v>
      </c>
    </row>
    <row r="46" spans="1:7" x14ac:dyDescent="0.2">
      <c r="A46" s="2">
        <v>30.161473087818688</v>
      </c>
      <c r="B46" s="2">
        <v>6</v>
      </c>
    </row>
    <row r="47" spans="1:7" x14ac:dyDescent="0.2">
      <c r="A47" s="2">
        <v>35.031257344300819</v>
      </c>
      <c r="B47" s="2">
        <v>6.9687426556991792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689C3-BBCA-1047-A6CB-9BE9C876AF98}">
  <dimension ref="A1:Y187"/>
  <sheetViews>
    <sheetView topLeftCell="A171" workbookViewId="0">
      <selection activeCell="I189" sqref="I189"/>
    </sheetView>
  </sheetViews>
  <sheetFormatPr baseColWidth="10" defaultRowHeight="16" x14ac:dyDescent="0.2"/>
  <cols>
    <col min="1" max="1" width="12.33203125" customWidth="1"/>
    <col min="2" max="2" width="19" bestFit="1" customWidth="1"/>
  </cols>
  <sheetData>
    <row r="1" spans="1:25" s="10" customFormat="1" x14ac:dyDescent="0.2">
      <c r="B1" s="10" t="s">
        <v>116</v>
      </c>
    </row>
    <row r="3" spans="1:25" x14ac:dyDescent="0.2">
      <c r="A3" t="s">
        <v>117</v>
      </c>
      <c r="B3" t="s">
        <v>118</v>
      </c>
      <c r="C3" t="s">
        <v>120</v>
      </c>
    </row>
    <row r="4" spans="1:25" x14ac:dyDescent="0.2">
      <c r="A4">
        <v>14.4</v>
      </c>
      <c r="B4">
        <v>1.8</v>
      </c>
      <c r="C4">
        <f>B4^2</f>
        <v>3.24</v>
      </c>
      <c r="F4" t="s">
        <v>121</v>
      </c>
      <c r="J4" t="s">
        <v>122</v>
      </c>
    </row>
    <row r="5" spans="1:25" x14ac:dyDescent="0.2">
      <c r="A5">
        <v>16</v>
      </c>
      <c r="B5">
        <v>2.85</v>
      </c>
      <c r="C5">
        <f t="shared" ref="C5:C19" si="0">B5^2</f>
        <v>8.1225000000000005</v>
      </c>
      <c r="F5">
        <v>1</v>
      </c>
      <c r="G5">
        <v>1.8</v>
      </c>
      <c r="H5">
        <f>G5^2</f>
        <v>3.24</v>
      </c>
      <c r="J5" cm="1">
        <f t="array" ref="J5:Y7">TRANSPOSE(F5:H20)</f>
        <v>1</v>
      </c>
      <c r="K5">
        <v>1</v>
      </c>
      <c r="L5">
        <v>1</v>
      </c>
      <c r="M5">
        <v>1</v>
      </c>
      <c r="N5">
        <v>1</v>
      </c>
      <c r="O5">
        <v>1</v>
      </c>
      <c r="P5">
        <v>1</v>
      </c>
      <c r="Q5">
        <v>1</v>
      </c>
      <c r="R5">
        <v>1</v>
      </c>
      <c r="S5">
        <v>1</v>
      </c>
      <c r="T5">
        <v>1</v>
      </c>
      <c r="U5">
        <v>1</v>
      </c>
      <c r="V5">
        <v>1</v>
      </c>
      <c r="W5">
        <v>1</v>
      </c>
      <c r="X5">
        <v>1</v>
      </c>
      <c r="Y5">
        <v>1</v>
      </c>
    </row>
    <row r="6" spans="1:25" x14ac:dyDescent="0.2">
      <c r="A6">
        <v>16.8</v>
      </c>
      <c r="B6">
        <v>2.4</v>
      </c>
      <c r="C6">
        <f t="shared" si="0"/>
        <v>5.76</v>
      </c>
      <c r="F6">
        <v>1</v>
      </c>
      <c r="G6">
        <v>2.85</v>
      </c>
      <c r="H6">
        <f t="shared" ref="H6:H20" si="1">G6^2</f>
        <v>8.1225000000000005</v>
      </c>
      <c r="J6">
        <v>1.8</v>
      </c>
      <c r="K6">
        <v>2.85</v>
      </c>
      <c r="L6">
        <v>2.4</v>
      </c>
      <c r="M6">
        <v>3</v>
      </c>
      <c r="N6">
        <v>3.3</v>
      </c>
      <c r="O6">
        <v>3.45</v>
      </c>
      <c r="P6">
        <v>3.75</v>
      </c>
      <c r="Q6">
        <v>4.5</v>
      </c>
      <c r="R6">
        <v>5.55</v>
      </c>
      <c r="S6">
        <v>5.25</v>
      </c>
      <c r="T6">
        <v>7.5</v>
      </c>
      <c r="U6">
        <v>7.95</v>
      </c>
      <c r="V6">
        <v>10.8</v>
      </c>
      <c r="W6">
        <v>12.6</v>
      </c>
      <c r="X6">
        <v>12.3</v>
      </c>
      <c r="Y6">
        <v>15.6</v>
      </c>
    </row>
    <row r="7" spans="1:25" x14ac:dyDescent="0.2">
      <c r="A7">
        <v>18.399999999999999</v>
      </c>
      <c r="B7">
        <v>3</v>
      </c>
      <c r="C7">
        <f t="shared" si="0"/>
        <v>9</v>
      </c>
      <c r="F7">
        <v>1</v>
      </c>
      <c r="G7">
        <v>2.4</v>
      </c>
      <c r="H7">
        <f t="shared" si="1"/>
        <v>5.76</v>
      </c>
      <c r="J7">
        <v>3.24</v>
      </c>
      <c r="K7">
        <v>8.1225000000000005</v>
      </c>
      <c r="L7">
        <v>5.76</v>
      </c>
      <c r="M7">
        <v>9</v>
      </c>
      <c r="N7">
        <v>10.889999999999999</v>
      </c>
      <c r="O7">
        <v>11.902500000000002</v>
      </c>
      <c r="P7">
        <v>14.0625</v>
      </c>
      <c r="Q7">
        <v>20.25</v>
      </c>
      <c r="R7">
        <v>30.802499999999998</v>
      </c>
      <c r="S7">
        <v>27.5625</v>
      </c>
      <c r="T7">
        <v>56.25</v>
      </c>
      <c r="U7">
        <v>63.202500000000001</v>
      </c>
      <c r="V7">
        <v>116.64000000000001</v>
      </c>
      <c r="W7">
        <v>158.76</v>
      </c>
      <c r="X7">
        <v>151.29000000000002</v>
      </c>
      <c r="Y7">
        <v>243.35999999999999</v>
      </c>
    </row>
    <row r="8" spans="1:25" x14ac:dyDescent="0.2">
      <c r="A8">
        <v>18.8</v>
      </c>
      <c r="B8">
        <v>3.3</v>
      </c>
      <c r="C8">
        <f t="shared" si="0"/>
        <v>10.889999999999999</v>
      </c>
      <c r="F8">
        <v>1</v>
      </c>
      <c r="G8">
        <v>3</v>
      </c>
      <c r="H8">
        <f t="shared" si="1"/>
        <v>9</v>
      </c>
    </row>
    <row r="9" spans="1:25" x14ac:dyDescent="0.2">
      <c r="A9">
        <v>20.2</v>
      </c>
      <c r="B9">
        <v>3.45</v>
      </c>
      <c r="C9">
        <f t="shared" si="0"/>
        <v>11.902500000000002</v>
      </c>
      <c r="F9">
        <v>1</v>
      </c>
      <c r="G9">
        <v>3.3</v>
      </c>
      <c r="H9">
        <f t="shared" si="1"/>
        <v>10.889999999999999</v>
      </c>
    </row>
    <row r="10" spans="1:25" x14ac:dyDescent="0.2">
      <c r="A10">
        <v>24.6</v>
      </c>
      <c r="B10">
        <v>3.75</v>
      </c>
      <c r="C10">
        <f t="shared" si="0"/>
        <v>14.0625</v>
      </c>
      <c r="F10">
        <v>1</v>
      </c>
      <c r="G10">
        <v>3.45</v>
      </c>
      <c r="H10">
        <f t="shared" si="1"/>
        <v>11.902500000000002</v>
      </c>
      <c r="J10" t="s">
        <v>123</v>
      </c>
    </row>
    <row r="11" spans="1:25" x14ac:dyDescent="0.2">
      <c r="A11">
        <v>25.4</v>
      </c>
      <c r="B11">
        <v>4.5</v>
      </c>
      <c r="C11">
        <f t="shared" si="0"/>
        <v>20.25</v>
      </c>
      <c r="F11">
        <v>1</v>
      </c>
      <c r="G11">
        <v>3.75</v>
      </c>
      <c r="H11">
        <f t="shared" si="1"/>
        <v>14.0625</v>
      </c>
      <c r="J11" cm="1">
        <f t="array" ref="J11:L13">MMULT(_xlfn.ANCHORARRAY(J5),F5:H20)</f>
        <v>16</v>
      </c>
      <c r="K11">
        <v>102.6</v>
      </c>
      <c r="L11">
        <v>931.09500000000014</v>
      </c>
    </row>
    <row r="12" spans="1:25" x14ac:dyDescent="0.2">
      <c r="A12">
        <v>28</v>
      </c>
      <c r="B12">
        <v>5.55</v>
      </c>
      <c r="C12">
        <f t="shared" si="0"/>
        <v>30.802499999999998</v>
      </c>
      <c r="F12">
        <v>1</v>
      </c>
      <c r="G12">
        <v>4.5</v>
      </c>
      <c r="H12">
        <f t="shared" si="1"/>
        <v>20.25</v>
      </c>
      <c r="J12">
        <v>102.6</v>
      </c>
      <c r="K12">
        <v>931.09500000000014</v>
      </c>
      <c r="L12">
        <v>10448.028</v>
      </c>
    </row>
    <row r="13" spans="1:25" x14ac:dyDescent="0.2">
      <c r="A13">
        <v>30.2</v>
      </c>
      <c r="B13">
        <v>5.25</v>
      </c>
      <c r="C13">
        <f t="shared" si="0"/>
        <v>27.5625</v>
      </c>
      <c r="F13">
        <v>1</v>
      </c>
      <c r="G13">
        <v>5.55</v>
      </c>
      <c r="H13">
        <f t="shared" si="1"/>
        <v>30.802499999999998</v>
      </c>
      <c r="J13">
        <v>931.09500000000014</v>
      </c>
      <c r="K13">
        <v>10448.028</v>
      </c>
      <c r="L13">
        <v>130848.2130375</v>
      </c>
    </row>
    <row r="14" spans="1:25" x14ac:dyDescent="0.2">
      <c r="A14">
        <v>34.799999999999997</v>
      </c>
      <c r="B14">
        <v>7.5</v>
      </c>
      <c r="C14">
        <f t="shared" si="0"/>
        <v>56.25</v>
      </c>
      <c r="F14">
        <v>1</v>
      </c>
      <c r="G14">
        <v>5.25</v>
      </c>
      <c r="H14">
        <f t="shared" si="1"/>
        <v>27.5625</v>
      </c>
    </row>
    <row r="15" spans="1:25" x14ac:dyDescent="0.2">
      <c r="A15">
        <v>34.6</v>
      </c>
      <c r="B15">
        <v>7.95</v>
      </c>
      <c r="C15">
        <f t="shared" si="0"/>
        <v>63.202500000000001</v>
      </c>
      <c r="F15">
        <v>1</v>
      </c>
      <c r="G15">
        <v>7.5</v>
      </c>
      <c r="H15">
        <f t="shared" si="1"/>
        <v>56.25</v>
      </c>
    </row>
    <row r="16" spans="1:25" x14ac:dyDescent="0.2">
      <c r="A16">
        <v>36</v>
      </c>
      <c r="B16">
        <v>10.8</v>
      </c>
      <c r="C16">
        <f t="shared" si="0"/>
        <v>116.64000000000001</v>
      </c>
      <c r="F16">
        <v>1</v>
      </c>
      <c r="G16">
        <v>7.95</v>
      </c>
      <c r="H16">
        <f t="shared" si="1"/>
        <v>63.202500000000001</v>
      </c>
      <c r="J16" t="s">
        <v>124</v>
      </c>
    </row>
    <row r="17" spans="1:14" x14ac:dyDescent="0.2">
      <c r="A17">
        <v>32.1</v>
      </c>
      <c r="B17">
        <v>12.6</v>
      </c>
      <c r="C17">
        <f t="shared" si="0"/>
        <v>158.76</v>
      </c>
      <c r="F17">
        <v>1</v>
      </c>
      <c r="G17">
        <v>10.8</v>
      </c>
      <c r="H17">
        <f t="shared" si="1"/>
        <v>116.64000000000001</v>
      </c>
      <c r="J17" cm="1">
        <f t="array" ref="J17:L19">MINVERSE(_xlfn.ANCHORARRAY(J11))</f>
        <v>0.88412755516657626</v>
      </c>
      <c r="K17">
        <v>-0.25795858874597904</v>
      </c>
      <c r="L17">
        <v>1.4306284882500946E-2</v>
      </c>
    </row>
    <row r="18" spans="1:14" x14ac:dyDescent="0.2">
      <c r="A18">
        <v>40.4</v>
      </c>
      <c r="B18">
        <v>12.3</v>
      </c>
      <c r="C18">
        <f t="shared" si="0"/>
        <v>151.29000000000002</v>
      </c>
      <c r="F18">
        <v>1</v>
      </c>
      <c r="G18">
        <v>12.6</v>
      </c>
      <c r="H18">
        <f t="shared" si="1"/>
        <v>158.76</v>
      </c>
      <c r="J18">
        <v>-0.25795858874597899</v>
      </c>
      <c r="K18">
        <v>8.5590341886928864E-2</v>
      </c>
      <c r="L18">
        <v>-4.9986646450289563E-3</v>
      </c>
    </row>
    <row r="19" spans="1:14" x14ac:dyDescent="0.2">
      <c r="A19">
        <v>39.799999999999997</v>
      </c>
      <c r="B19">
        <v>15.6</v>
      </c>
      <c r="C19">
        <f t="shared" si="0"/>
        <v>243.35999999999999</v>
      </c>
      <c r="F19">
        <v>1</v>
      </c>
      <c r="G19">
        <v>12.3</v>
      </c>
      <c r="H19">
        <f t="shared" si="1"/>
        <v>151.29000000000002</v>
      </c>
      <c r="J19">
        <v>1.430628488250095E-2</v>
      </c>
      <c r="K19">
        <v>-4.9986646450289572E-3</v>
      </c>
      <c r="L19">
        <v>3.0497686536814795E-4</v>
      </c>
    </row>
    <row r="20" spans="1:14" x14ac:dyDescent="0.2">
      <c r="F20">
        <v>1</v>
      </c>
      <c r="G20">
        <v>15.6</v>
      </c>
      <c r="H20">
        <f t="shared" si="1"/>
        <v>243.35999999999999</v>
      </c>
    </row>
    <row r="22" spans="1:14" x14ac:dyDescent="0.2">
      <c r="A22" t="s">
        <v>119</v>
      </c>
      <c r="J22" t="s">
        <v>12</v>
      </c>
      <c r="L22" t="s">
        <v>125</v>
      </c>
    </row>
    <row r="23" spans="1:14" x14ac:dyDescent="0.2">
      <c r="J23" cm="1">
        <f t="array" ref="J23:J25">MMULT(_xlfn.ANCHORARRAY(J5),A4:A19)</f>
        <v>430.5</v>
      </c>
      <c r="L23" cm="1">
        <f t="array" ref="L23:L25">MMULT(_xlfn.ANCHORARRAY(J11),_xlfn.ANCHORARRAY(J23))</f>
        <v>30767112.14241001</v>
      </c>
    </row>
    <row r="24" spans="1:14" x14ac:dyDescent="0.2">
      <c r="J24">
        <v>3266.4</v>
      </c>
      <c r="L24">
        <v>344492344.69898409</v>
      </c>
    </row>
    <row r="25" spans="1:14" x14ac:dyDescent="0.2">
      <c r="J25">
        <v>32676.678000000004</v>
      </c>
      <c r="L25">
        <v>4310213199.35849</v>
      </c>
      <c r="N25" s="9" t="s">
        <v>83</v>
      </c>
    </row>
    <row r="28" spans="1:14" s="10" customFormat="1" x14ac:dyDescent="0.2">
      <c r="B28" s="10" t="s">
        <v>126</v>
      </c>
    </row>
    <row r="30" spans="1:14" x14ac:dyDescent="0.2">
      <c r="A30" t="s">
        <v>131</v>
      </c>
    </row>
    <row r="32" spans="1:14" x14ac:dyDescent="0.2">
      <c r="A32" t="s">
        <v>127</v>
      </c>
      <c r="B32" t="s">
        <v>128</v>
      </c>
      <c r="C32" t="s">
        <v>132</v>
      </c>
    </row>
    <row r="33" spans="1:3" x14ac:dyDescent="0.2">
      <c r="A33">
        <v>1</v>
      </c>
      <c r="B33">
        <v>150</v>
      </c>
      <c r="C33">
        <f>1/A33</f>
        <v>1</v>
      </c>
    </row>
    <row r="34" spans="1:3" x14ac:dyDescent="0.2">
      <c r="A34">
        <v>2</v>
      </c>
      <c r="B34">
        <v>120</v>
      </c>
      <c r="C34">
        <f t="shared" ref="C34:C44" si="2">1/A34</f>
        <v>0.5</v>
      </c>
    </row>
    <row r="35" spans="1:3" x14ac:dyDescent="0.2">
      <c r="A35">
        <v>3</v>
      </c>
      <c r="B35">
        <v>110</v>
      </c>
      <c r="C35">
        <f t="shared" si="2"/>
        <v>0.33333333333333331</v>
      </c>
    </row>
    <row r="36" spans="1:3" x14ac:dyDescent="0.2">
      <c r="A36">
        <v>4</v>
      </c>
      <c r="B36">
        <v>105</v>
      </c>
      <c r="C36">
        <f t="shared" si="2"/>
        <v>0.25</v>
      </c>
    </row>
    <row r="37" spans="1:3" x14ac:dyDescent="0.2">
      <c r="A37">
        <v>5</v>
      </c>
      <c r="B37">
        <v>90</v>
      </c>
      <c r="C37">
        <f t="shared" si="2"/>
        <v>0.2</v>
      </c>
    </row>
    <row r="38" spans="1:3" x14ac:dyDescent="0.2">
      <c r="A38">
        <v>6</v>
      </c>
      <c r="B38">
        <v>85</v>
      </c>
      <c r="C38">
        <f t="shared" si="2"/>
        <v>0.16666666666666666</v>
      </c>
    </row>
    <row r="39" spans="1:3" x14ac:dyDescent="0.2">
      <c r="A39">
        <v>7</v>
      </c>
      <c r="B39">
        <v>80</v>
      </c>
      <c r="C39">
        <f t="shared" si="2"/>
        <v>0.14285714285714285</v>
      </c>
    </row>
    <row r="40" spans="1:3" x14ac:dyDescent="0.2">
      <c r="A40">
        <v>8</v>
      </c>
      <c r="B40">
        <v>75</v>
      </c>
      <c r="C40">
        <f t="shared" si="2"/>
        <v>0.125</v>
      </c>
    </row>
    <row r="41" spans="1:3" x14ac:dyDescent="0.2">
      <c r="A41">
        <v>9</v>
      </c>
      <c r="B41">
        <v>70</v>
      </c>
      <c r="C41">
        <f t="shared" si="2"/>
        <v>0.1111111111111111</v>
      </c>
    </row>
    <row r="42" spans="1:3" x14ac:dyDescent="0.2">
      <c r="A42">
        <v>10</v>
      </c>
      <c r="B42">
        <v>75</v>
      </c>
      <c r="C42">
        <f t="shared" si="2"/>
        <v>0.1</v>
      </c>
    </row>
    <row r="43" spans="1:3" x14ac:dyDescent="0.2">
      <c r="A43">
        <v>11</v>
      </c>
      <c r="B43">
        <v>74</v>
      </c>
      <c r="C43">
        <f t="shared" si="2"/>
        <v>9.0909090909090912E-2</v>
      </c>
    </row>
    <row r="44" spans="1:3" x14ac:dyDescent="0.2">
      <c r="A44">
        <v>12</v>
      </c>
      <c r="B44">
        <v>70</v>
      </c>
      <c r="C44">
        <f t="shared" si="2"/>
        <v>8.3333333333333329E-2</v>
      </c>
    </row>
    <row r="47" spans="1:3" x14ac:dyDescent="0.2">
      <c r="A47" t="s">
        <v>129</v>
      </c>
    </row>
    <row r="49" spans="1:10" x14ac:dyDescent="0.2">
      <c r="B49" t="s">
        <v>132</v>
      </c>
      <c r="C49" t="s">
        <v>133</v>
      </c>
    </row>
    <row r="50" spans="1:10" x14ac:dyDescent="0.2">
      <c r="A50" t="s">
        <v>134</v>
      </c>
      <c r="B50">
        <v>1</v>
      </c>
      <c r="C50">
        <v>1</v>
      </c>
      <c r="E50" t="s">
        <v>135</v>
      </c>
      <c r="F50">
        <v>150</v>
      </c>
    </row>
    <row r="51" spans="1:10" x14ac:dyDescent="0.2">
      <c r="B51">
        <v>0.5</v>
      </c>
      <c r="C51">
        <v>1</v>
      </c>
      <c r="F51">
        <v>120</v>
      </c>
    </row>
    <row r="52" spans="1:10" x14ac:dyDescent="0.2">
      <c r="B52">
        <v>0.33333333333333331</v>
      </c>
      <c r="C52">
        <v>1</v>
      </c>
      <c r="F52">
        <v>110</v>
      </c>
    </row>
    <row r="53" spans="1:10" x14ac:dyDescent="0.2">
      <c r="B53">
        <v>0.25</v>
      </c>
      <c r="C53">
        <v>1</v>
      </c>
      <c r="F53">
        <v>105</v>
      </c>
    </row>
    <row r="54" spans="1:10" x14ac:dyDescent="0.2">
      <c r="B54">
        <v>0.2</v>
      </c>
      <c r="C54">
        <v>1</v>
      </c>
      <c r="F54">
        <v>90</v>
      </c>
    </row>
    <row r="55" spans="1:10" x14ac:dyDescent="0.2">
      <c r="B55">
        <v>0.16666666666666666</v>
      </c>
      <c r="C55">
        <v>1</v>
      </c>
      <c r="F55">
        <v>85</v>
      </c>
    </row>
    <row r="56" spans="1:10" x14ac:dyDescent="0.2">
      <c r="B56">
        <v>0.14285714285714285</v>
      </c>
      <c r="C56">
        <v>1</v>
      </c>
      <c r="F56">
        <v>80</v>
      </c>
    </row>
    <row r="57" spans="1:10" x14ac:dyDescent="0.2">
      <c r="B57">
        <v>0.125</v>
      </c>
      <c r="C57">
        <v>1</v>
      </c>
      <c r="F57">
        <v>75</v>
      </c>
    </row>
    <row r="58" spans="1:10" x14ac:dyDescent="0.2">
      <c r="B58">
        <v>0.1111111111111111</v>
      </c>
      <c r="C58">
        <v>1</v>
      </c>
      <c r="F58">
        <v>70</v>
      </c>
    </row>
    <row r="59" spans="1:10" x14ac:dyDescent="0.2">
      <c r="B59">
        <v>0.1</v>
      </c>
      <c r="C59">
        <v>1</v>
      </c>
      <c r="F59">
        <v>75</v>
      </c>
    </row>
    <row r="60" spans="1:10" x14ac:dyDescent="0.2">
      <c r="B60">
        <v>9.0909090909090912E-2</v>
      </c>
      <c r="C60">
        <v>1</v>
      </c>
      <c r="F60">
        <v>74</v>
      </c>
    </row>
    <row r="61" spans="1:10" x14ac:dyDescent="0.2">
      <c r="B61">
        <v>8.3333333333333329E-2</v>
      </c>
      <c r="C61">
        <v>1</v>
      </c>
      <c r="F61">
        <v>70</v>
      </c>
    </row>
    <row r="64" spans="1:10" x14ac:dyDescent="0.2">
      <c r="A64" t="s">
        <v>137</v>
      </c>
      <c r="B64" cm="1">
        <f t="array" ref="B64:C65">-MMULT(TRANSPOSE(B50:C61),B50:C61)</f>
        <v>-1.5649766384209025</v>
      </c>
      <c r="C64">
        <v>-3.1032106782106781</v>
      </c>
      <c r="E64" t="s">
        <v>138</v>
      </c>
      <c r="F64" cm="1">
        <f t="array" ref="F64:G65">MINVERSE(_xlfn.ANCHORARRAY(B64))</f>
        <v>-1.3115036254118215</v>
      </c>
      <c r="G64">
        <v>0.33915600457416517</v>
      </c>
      <c r="I64" t="s">
        <v>139</v>
      </c>
      <c r="J64" cm="1">
        <f t="array" ref="J64:J65">MMULT(TRANSPOSE(B50:C61),F50:F61)</f>
        <v>353.72528860028859</v>
      </c>
    </row>
    <row r="65" spans="1:10" x14ac:dyDescent="0.2">
      <c r="B65">
        <v>-3.1032106782106781</v>
      </c>
      <c r="C65">
        <v>-12</v>
      </c>
      <c r="F65">
        <v>0.33915600457416512</v>
      </c>
      <c r="G65">
        <v>-0.1710393779144849</v>
      </c>
      <c r="J65">
        <v>1104</v>
      </c>
    </row>
    <row r="68" spans="1:10" x14ac:dyDescent="0.2">
      <c r="A68" t="s">
        <v>140</v>
      </c>
      <c r="B68" cm="1">
        <f t="array" ref="B68:B69">MMULT(_xlfn.ANCHORARRAY(F64),_xlfn.ANCHORARRAY(J64))</f>
        <v>-89.483769349243005</v>
      </c>
    </row>
    <row r="69" spans="1:10" x14ac:dyDescent="0.2">
      <c r="B69">
        <v>-68.859417619073966</v>
      </c>
    </row>
    <row r="72" spans="1:10" x14ac:dyDescent="0.2">
      <c r="B72" t="s">
        <v>141</v>
      </c>
      <c r="D72">
        <f>-89.48+(-68.86/3)</f>
        <v>-112.43333333333334</v>
      </c>
      <c r="G72" s="9" t="s">
        <v>83</v>
      </c>
    </row>
    <row r="74" spans="1:10" x14ac:dyDescent="0.2">
      <c r="B74" t="s">
        <v>142</v>
      </c>
      <c r="C74">
        <v>68.86</v>
      </c>
    </row>
    <row r="75" spans="1:10" x14ac:dyDescent="0.2">
      <c r="B75" t="s">
        <v>143</v>
      </c>
      <c r="C75">
        <v>89.48</v>
      </c>
    </row>
    <row r="77" spans="1:10" x14ac:dyDescent="0.2">
      <c r="B77" t="s">
        <v>144</v>
      </c>
      <c r="D77" t="s">
        <v>145</v>
      </c>
      <c r="E77">
        <v>13</v>
      </c>
      <c r="G77">
        <f>$C$74+($C$75/E77)</f>
        <v>75.743076923076927</v>
      </c>
    </row>
    <row r="78" spans="1:10" x14ac:dyDescent="0.2">
      <c r="E78">
        <v>14</v>
      </c>
      <c r="G78">
        <f t="shared" ref="G78:G79" si="3">$C$74+($C$75/E78)</f>
        <v>75.251428571428576</v>
      </c>
    </row>
    <row r="79" spans="1:10" x14ac:dyDescent="0.2">
      <c r="E79">
        <v>15</v>
      </c>
      <c r="G79">
        <f t="shared" si="3"/>
        <v>74.825333333333333</v>
      </c>
      <c r="J79" s="11" t="s">
        <v>146</v>
      </c>
    </row>
    <row r="82" spans="1:4" s="10" customFormat="1" x14ac:dyDescent="0.2">
      <c r="B82" s="10" t="s">
        <v>150</v>
      </c>
    </row>
    <row r="84" spans="1:4" x14ac:dyDescent="0.2">
      <c r="B84" t="s">
        <v>153</v>
      </c>
    </row>
    <row r="86" spans="1:4" x14ac:dyDescent="0.2">
      <c r="A86" t="s">
        <v>18</v>
      </c>
      <c r="B86" t="s">
        <v>151</v>
      </c>
      <c r="C86" t="s">
        <v>154</v>
      </c>
      <c r="D86" t="s">
        <v>155</v>
      </c>
    </row>
    <row r="87" spans="1:4" x14ac:dyDescent="0.2">
      <c r="A87">
        <v>2006</v>
      </c>
      <c r="B87">
        <v>495.31</v>
      </c>
      <c r="C87">
        <f>LN(B87)</f>
        <v>6.2051838291743504</v>
      </c>
      <c r="D87">
        <v>1</v>
      </c>
    </row>
    <row r="88" spans="1:4" x14ac:dyDescent="0.2">
      <c r="A88">
        <v>2007</v>
      </c>
      <c r="B88">
        <v>561.62</v>
      </c>
      <c r="C88">
        <f t="shared" ref="C88:C99" si="4">LN(B88)</f>
        <v>6.3308254646131026</v>
      </c>
      <c r="D88">
        <v>2</v>
      </c>
    </row>
    <row r="89" spans="1:4" x14ac:dyDescent="0.2">
      <c r="A89">
        <v>2008</v>
      </c>
      <c r="B89">
        <v>666.23</v>
      </c>
      <c r="C89">
        <f t="shared" si="4"/>
        <v>6.5016349562677558</v>
      </c>
      <c r="D89">
        <v>3</v>
      </c>
    </row>
    <row r="90" spans="1:4" x14ac:dyDescent="0.2">
      <c r="A90">
        <v>2009</v>
      </c>
      <c r="B90">
        <v>720.23</v>
      </c>
      <c r="C90">
        <f t="shared" si="4"/>
        <v>6.5795706054430321</v>
      </c>
      <c r="D90">
        <v>4</v>
      </c>
    </row>
    <row r="91" spans="1:4" x14ac:dyDescent="0.2">
      <c r="A91">
        <v>2010</v>
      </c>
      <c r="B91">
        <v>783.65</v>
      </c>
      <c r="C91">
        <f t="shared" si="4"/>
        <v>6.6639624921000769</v>
      </c>
      <c r="D91">
        <v>5</v>
      </c>
    </row>
    <row r="92" spans="1:4" x14ac:dyDescent="0.2">
      <c r="A92">
        <v>2011</v>
      </c>
      <c r="B92">
        <v>881.5</v>
      </c>
      <c r="C92">
        <f t="shared" si="4"/>
        <v>6.7816250018379245</v>
      </c>
      <c r="D92">
        <v>6</v>
      </c>
    </row>
    <row r="93" spans="1:4" x14ac:dyDescent="0.2">
      <c r="A93">
        <v>2012</v>
      </c>
      <c r="B93">
        <v>921.41</v>
      </c>
      <c r="C93">
        <f t="shared" si="4"/>
        <v>6.8259051054926294</v>
      </c>
      <c r="D93">
        <v>7</v>
      </c>
    </row>
    <row r="94" spans="1:4" x14ac:dyDescent="0.2">
      <c r="A94">
        <v>2013</v>
      </c>
      <c r="B94">
        <v>978.91</v>
      </c>
      <c r="C94">
        <f t="shared" si="4"/>
        <v>6.8864397077632704</v>
      </c>
      <c r="D94">
        <v>8</v>
      </c>
    </row>
    <row r="95" spans="1:4" x14ac:dyDescent="0.2">
      <c r="A95">
        <v>2014</v>
      </c>
      <c r="B95">
        <v>1059.02</v>
      </c>
      <c r="C95">
        <f t="shared" si="4"/>
        <v>6.9650992311643387</v>
      </c>
      <c r="D95">
        <v>9</v>
      </c>
    </row>
    <row r="96" spans="1:4" x14ac:dyDescent="0.2">
      <c r="A96">
        <v>2015</v>
      </c>
      <c r="B96">
        <v>1154.99</v>
      </c>
      <c r="C96">
        <f t="shared" si="4"/>
        <v>7.051846964909755</v>
      </c>
      <c r="D96">
        <v>10</v>
      </c>
    </row>
    <row r="97" spans="1:6" x14ac:dyDescent="0.2">
      <c r="A97">
        <v>2016</v>
      </c>
      <c r="B97">
        <v>1265.68</v>
      </c>
      <c r="C97">
        <f t="shared" si="4"/>
        <v>7.1433648061408084</v>
      </c>
      <c r="D97">
        <v>11</v>
      </c>
    </row>
    <row r="98" spans="1:6" x14ac:dyDescent="0.2">
      <c r="A98">
        <v>2017</v>
      </c>
      <c r="B98">
        <v>1324.37</v>
      </c>
      <c r="C98">
        <f t="shared" si="4"/>
        <v>7.1886921536496979</v>
      </c>
      <c r="D98">
        <v>12</v>
      </c>
    </row>
    <row r="99" spans="1:6" x14ac:dyDescent="0.2">
      <c r="A99">
        <v>2018</v>
      </c>
      <c r="B99">
        <v>1446.09</v>
      </c>
      <c r="C99">
        <f t="shared" si="4"/>
        <v>7.276618641445741</v>
      </c>
      <c r="D99">
        <v>13</v>
      </c>
    </row>
    <row r="102" spans="1:6" x14ac:dyDescent="0.2">
      <c r="B102" t="s">
        <v>152</v>
      </c>
    </row>
    <row r="104" spans="1:6" x14ac:dyDescent="0.2">
      <c r="B104" t="s">
        <v>132</v>
      </c>
      <c r="C104" t="s">
        <v>133</v>
      </c>
    </row>
    <row r="105" spans="1:6" x14ac:dyDescent="0.2">
      <c r="A105" t="s">
        <v>134</v>
      </c>
      <c r="B105">
        <v>1</v>
      </c>
      <c r="C105">
        <v>1</v>
      </c>
      <c r="E105" t="s">
        <v>156</v>
      </c>
      <c r="F105">
        <v>6.2051838291743504</v>
      </c>
    </row>
    <row r="106" spans="1:6" x14ac:dyDescent="0.2">
      <c r="B106">
        <v>2</v>
      </c>
      <c r="C106">
        <v>1</v>
      </c>
      <c r="F106">
        <v>6.3308254646131026</v>
      </c>
    </row>
    <row r="107" spans="1:6" x14ac:dyDescent="0.2">
      <c r="B107">
        <v>3</v>
      </c>
      <c r="C107">
        <v>1</v>
      </c>
      <c r="F107">
        <v>6.5016349562677558</v>
      </c>
    </row>
    <row r="108" spans="1:6" x14ac:dyDescent="0.2">
      <c r="B108">
        <v>4</v>
      </c>
      <c r="C108">
        <v>1</v>
      </c>
      <c r="F108">
        <v>6.5795706054430321</v>
      </c>
    </row>
    <row r="109" spans="1:6" x14ac:dyDescent="0.2">
      <c r="B109">
        <v>5</v>
      </c>
      <c r="C109">
        <v>1</v>
      </c>
      <c r="F109">
        <v>6.6639624921000769</v>
      </c>
    </row>
    <row r="110" spans="1:6" x14ac:dyDescent="0.2">
      <c r="B110">
        <v>6</v>
      </c>
      <c r="C110">
        <v>1</v>
      </c>
      <c r="F110">
        <v>6.7816250018379245</v>
      </c>
    </row>
    <row r="111" spans="1:6" x14ac:dyDescent="0.2">
      <c r="B111">
        <v>7</v>
      </c>
      <c r="C111">
        <v>1</v>
      </c>
      <c r="F111">
        <v>6.8259051054926294</v>
      </c>
    </row>
    <row r="112" spans="1:6" x14ac:dyDescent="0.2">
      <c r="B112">
        <v>8</v>
      </c>
      <c r="C112">
        <v>1</v>
      </c>
      <c r="F112">
        <v>6.8864397077632704</v>
      </c>
    </row>
    <row r="113" spans="1:10" x14ac:dyDescent="0.2">
      <c r="B113">
        <v>9</v>
      </c>
      <c r="C113">
        <v>1</v>
      </c>
      <c r="F113">
        <v>6.9650992311643387</v>
      </c>
    </row>
    <row r="114" spans="1:10" x14ac:dyDescent="0.2">
      <c r="B114">
        <v>10</v>
      </c>
      <c r="C114">
        <v>1</v>
      </c>
      <c r="F114">
        <v>7.051846964909755</v>
      </c>
    </row>
    <row r="115" spans="1:10" x14ac:dyDescent="0.2">
      <c r="B115">
        <v>11</v>
      </c>
      <c r="C115">
        <v>1</v>
      </c>
      <c r="F115">
        <v>7.1433648061408084</v>
      </c>
    </row>
    <row r="116" spans="1:10" x14ac:dyDescent="0.2">
      <c r="B116">
        <v>12</v>
      </c>
      <c r="C116">
        <v>1</v>
      </c>
      <c r="F116">
        <v>7.1886921536496979</v>
      </c>
    </row>
    <row r="117" spans="1:10" x14ac:dyDescent="0.2">
      <c r="B117">
        <v>13</v>
      </c>
      <c r="C117">
        <v>1</v>
      </c>
      <c r="F117">
        <v>7.276618641445741</v>
      </c>
    </row>
    <row r="120" spans="1:10" x14ac:dyDescent="0.2">
      <c r="A120" t="s">
        <v>137</v>
      </c>
      <c r="B120" cm="1">
        <f t="array" ref="B120:C121">MMULT(TRANSPOSE(B105:C117),B105:C117)</f>
        <v>819</v>
      </c>
      <c r="C120">
        <v>91</v>
      </c>
      <c r="E120" t="s">
        <v>157</v>
      </c>
      <c r="F120" cm="1">
        <f t="array" ref="F120:G121">MINVERSE(_xlfn.ANCHORARRAY(B120))</f>
        <v>5.4945054945054949E-3</v>
      </c>
      <c r="G120">
        <v>-3.846153846153845E-2</v>
      </c>
      <c r="I120" t="s">
        <v>158</v>
      </c>
      <c r="J120" cm="1">
        <f t="array" ref="J120:J121">MMULT(TRANSPOSE(B105:C117),F105:F117)</f>
        <v>634.21416170077498</v>
      </c>
    </row>
    <row r="121" spans="1:10" x14ac:dyDescent="0.2">
      <c r="B121">
        <v>91</v>
      </c>
      <c r="C121">
        <v>13</v>
      </c>
      <c r="F121">
        <v>-3.8461538461538457E-2</v>
      </c>
      <c r="G121">
        <v>0.34615384615384609</v>
      </c>
      <c r="J121">
        <v>88.40076896000248</v>
      </c>
    </row>
    <row r="124" spans="1:10" x14ac:dyDescent="0.2">
      <c r="A124" t="s">
        <v>159</v>
      </c>
      <c r="B124" cm="1">
        <f t="array" ref="B124:B125">MMULT(_xlfn.ANCHORARRAY(F120),_xlfn.ANCHORARRAY(J120))</f>
        <v>8.4663620773394843E-2</v>
      </c>
      <c r="C124" t="s">
        <v>160</v>
      </c>
    </row>
    <row r="125" spans="1:10" x14ac:dyDescent="0.2">
      <c r="B125">
        <v>6.2074138053556638</v>
      </c>
      <c r="C125" t="s">
        <v>161</v>
      </c>
    </row>
    <row r="128" spans="1:10" x14ac:dyDescent="0.2">
      <c r="B128" t="s">
        <v>162</v>
      </c>
    </row>
    <row r="129" spans="1:6" x14ac:dyDescent="0.2">
      <c r="B129" s="5" t="s">
        <v>164</v>
      </c>
    </row>
    <row r="131" spans="1:6" x14ac:dyDescent="0.2">
      <c r="B131" t="s">
        <v>163</v>
      </c>
      <c r="C131" s="5">
        <f>EXP(B125)</f>
        <v>496.41576195555075</v>
      </c>
    </row>
    <row r="133" spans="1:6" x14ac:dyDescent="0.2">
      <c r="B133" s="5" t="s">
        <v>165</v>
      </c>
    </row>
    <row r="136" spans="1:6" s="10" customFormat="1" x14ac:dyDescent="0.2">
      <c r="B136" s="10" t="s">
        <v>166</v>
      </c>
    </row>
    <row r="138" spans="1:6" x14ac:dyDescent="0.2">
      <c r="B138" t="s">
        <v>167</v>
      </c>
    </row>
    <row r="140" spans="1:6" x14ac:dyDescent="0.2">
      <c r="A140" t="s">
        <v>168</v>
      </c>
      <c r="B140" t="s">
        <v>169</v>
      </c>
      <c r="C140" t="s">
        <v>170</v>
      </c>
      <c r="D140" t="s">
        <v>154</v>
      </c>
      <c r="E140" t="s">
        <v>132</v>
      </c>
      <c r="F140" t="s">
        <v>172</v>
      </c>
    </row>
    <row r="141" spans="1:6" x14ac:dyDescent="0.2">
      <c r="A141">
        <v>156</v>
      </c>
      <c r="B141">
        <v>43.2</v>
      </c>
      <c r="C141">
        <v>2900</v>
      </c>
      <c r="D141">
        <f>LOG(A141)</f>
        <v>2.1931245983544616</v>
      </c>
      <c r="E141">
        <f>LN(B141)</f>
        <v>3.7658404952500648</v>
      </c>
      <c r="F141">
        <f>LN(C141)</f>
        <v>7.9724660159745655</v>
      </c>
    </row>
    <row r="142" spans="1:6" x14ac:dyDescent="0.2">
      <c r="A142">
        <v>169.8</v>
      </c>
      <c r="B142">
        <v>46.2</v>
      </c>
      <c r="C142">
        <v>3491</v>
      </c>
      <c r="D142">
        <f t="shared" ref="D142:D152" si="5">LOG(A142)</f>
        <v>2.2299376859079341</v>
      </c>
      <c r="E142">
        <f t="shared" ref="E142:E152" si="6">LN(B142)</f>
        <v>3.8329797980876932</v>
      </c>
      <c r="F142">
        <f t="shared" ref="F142:F152" si="7">LN(C142)</f>
        <v>8.1579435071050366</v>
      </c>
    </row>
    <row r="143" spans="1:6" x14ac:dyDescent="0.2">
      <c r="A143">
        <v>163.4</v>
      </c>
      <c r="B143">
        <v>47</v>
      </c>
      <c r="C143">
        <v>3960</v>
      </c>
      <c r="D143">
        <f t="shared" si="5"/>
        <v>2.2132520521963968</v>
      </c>
      <c r="E143">
        <f t="shared" si="6"/>
        <v>3.8501476017100584</v>
      </c>
      <c r="F143">
        <f t="shared" si="7"/>
        <v>8.2839993042485265</v>
      </c>
    </row>
    <row r="144" spans="1:6" x14ac:dyDescent="0.2">
      <c r="A144">
        <v>159.5</v>
      </c>
      <c r="B144">
        <v>42</v>
      </c>
      <c r="C144">
        <v>4063</v>
      </c>
      <c r="D144">
        <f t="shared" si="5"/>
        <v>2.2027606873931997</v>
      </c>
      <c r="E144">
        <f t="shared" si="6"/>
        <v>3.7376696182833684</v>
      </c>
      <c r="F144">
        <f t="shared" si="7"/>
        <v>8.3096768959877263</v>
      </c>
    </row>
    <row r="145" spans="1:7" x14ac:dyDescent="0.2">
      <c r="A145">
        <v>119.7</v>
      </c>
      <c r="B145">
        <v>40.4</v>
      </c>
      <c r="C145">
        <v>4705</v>
      </c>
      <c r="D145">
        <f t="shared" si="5"/>
        <v>2.0780941504064105</v>
      </c>
      <c r="E145">
        <f t="shared" si="6"/>
        <v>3.6988297849671046</v>
      </c>
      <c r="F145">
        <f t="shared" si="7"/>
        <v>8.4563810520194806</v>
      </c>
    </row>
    <row r="146" spans="1:7" x14ac:dyDescent="0.2">
      <c r="A146">
        <v>103.3</v>
      </c>
      <c r="B146">
        <v>30</v>
      </c>
      <c r="C146">
        <v>4752</v>
      </c>
      <c r="D146">
        <f t="shared" si="5"/>
        <v>2.0141003215196207</v>
      </c>
      <c r="E146">
        <f t="shared" si="6"/>
        <v>3.4011973816621555</v>
      </c>
      <c r="F146">
        <f t="shared" si="7"/>
        <v>8.4663208610424814</v>
      </c>
    </row>
    <row r="147" spans="1:7" x14ac:dyDescent="0.2">
      <c r="A147">
        <v>109.7</v>
      </c>
      <c r="B147">
        <v>35.6</v>
      </c>
      <c r="C147">
        <v>4776</v>
      </c>
      <c r="D147">
        <f t="shared" si="5"/>
        <v>2.0402066275747113</v>
      </c>
      <c r="E147">
        <f t="shared" si="6"/>
        <v>3.572345637857985</v>
      </c>
      <c r="F147">
        <f t="shared" si="7"/>
        <v>8.4713586550724376</v>
      </c>
    </row>
    <row r="148" spans="1:7" x14ac:dyDescent="0.2">
      <c r="A148">
        <v>118.5</v>
      </c>
      <c r="B148">
        <v>36</v>
      </c>
      <c r="C148">
        <v>4867</v>
      </c>
      <c r="D148">
        <f t="shared" si="5"/>
        <v>2.0737183503461227</v>
      </c>
      <c r="E148">
        <f t="shared" si="6"/>
        <v>3.5835189384561099</v>
      </c>
      <c r="F148">
        <f t="shared" si="7"/>
        <v>8.4902330098334549</v>
      </c>
    </row>
    <row r="149" spans="1:7" x14ac:dyDescent="0.2">
      <c r="A149">
        <v>117.8</v>
      </c>
      <c r="B149">
        <v>36.799999999999997</v>
      </c>
      <c r="C149">
        <v>4943</v>
      </c>
      <c r="D149">
        <f t="shared" si="5"/>
        <v>2.0711452904510828</v>
      </c>
      <c r="E149">
        <f t="shared" si="6"/>
        <v>3.6054978451748854</v>
      </c>
      <c r="F149">
        <f t="shared" si="7"/>
        <v>8.5057277133069586</v>
      </c>
    </row>
    <row r="150" spans="1:7" x14ac:dyDescent="0.2">
      <c r="A150">
        <v>111.3</v>
      </c>
      <c r="B150">
        <v>33.6</v>
      </c>
      <c r="C150">
        <v>4986</v>
      </c>
      <c r="D150">
        <f t="shared" si="5"/>
        <v>2.0464951643347082</v>
      </c>
      <c r="E150">
        <f t="shared" si="6"/>
        <v>3.5145260669691587</v>
      </c>
      <c r="F150">
        <f t="shared" si="7"/>
        <v>8.5143892640835031</v>
      </c>
    </row>
    <row r="151" spans="1:7" x14ac:dyDescent="0.2">
      <c r="A151">
        <v>112.5</v>
      </c>
      <c r="B151">
        <v>35.200000000000003</v>
      </c>
      <c r="C151">
        <v>4991</v>
      </c>
      <c r="D151">
        <f t="shared" si="5"/>
        <v>2.0511525224473814</v>
      </c>
      <c r="E151">
        <f t="shared" si="6"/>
        <v>3.5610460826040513</v>
      </c>
      <c r="F151">
        <f t="shared" si="7"/>
        <v>8.5153915694696085</v>
      </c>
    </row>
    <row r="152" spans="1:7" x14ac:dyDescent="0.2">
      <c r="A152">
        <v>113.7</v>
      </c>
      <c r="B152">
        <v>35.799999999999997</v>
      </c>
      <c r="C152">
        <v>5140</v>
      </c>
      <c r="D152">
        <f t="shared" si="5"/>
        <v>2.0557604646877348</v>
      </c>
      <c r="E152">
        <f t="shared" si="6"/>
        <v>3.5779478934066544</v>
      </c>
      <c r="F152">
        <f t="shared" si="7"/>
        <v>8.5448083584492114</v>
      </c>
    </row>
    <row r="154" spans="1:7" x14ac:dyDescent="0.2">
      <c r="B154" t="s">
        <v>171</v>
      </c>
    </row>
    <row r="156" spans="1:7" x14ac:dyDescent="0.2">
      <c r="B156" t="s">
        <v>132</v>
      </c>
      <c r="C156" t="s">
        <v>172</v>
      </c>
      <c r="D156" t="s">
        <v>133</v>
      </c>
    </row>
    <row r="157" spans="1:7" x14ac:dyDescent="0.2">
      <c r="A157" t="s">
        <v>173</v>
      </c>
      <c r="B157">
        <f>E141</f>
        <v>3.7658404952500648</v>
      </c>
      <c r="C157">
        <f>F141</f>
        <v>7.9724660159745655</v>
      </c>
      <c r="D157">
        <v>1</v>
      </c>
      <c r="F157" t="s">
        <v>174</v>
      </c>
      <c r="G157">
        <f>D141</f>
        <v>2.1931245983544616</v>
      </c>
    </row>
    <row r="158" spans="1:7" x14ac:dyDescent="0.2">
      <c r="B158">
        <f t="shared" ref="B158:B167" si="8">E142</f>
        <v>3.8329797980876932</v>
      </c>
      <c r="C158">
        <f t="shared" ref="C158:C168" si="9">F142</f>
        <v>8.1579435071050366</v>
      </c>
      <c r="D158">
        <v>1</v>
      </c>
      <c r="G158">
        <f t="shared" ref="G158:G168" si="10">D142</f>
        <v>2.2299376859079341</v>
      </c>
    </row>
    <row r="159" spans="1:7" x14ac:dyDescent="0.2">
      <c r="B159">
        <f t="shared" si="8"/>
        <v>3.8501476017100584</v>
      </c>
      <c r="C159">
        <f t="shared" si="9"/>
        <v>8.2839993042485265</v>
      </c>
      <c r="D159">
        <v>1</v>
      </c>
      <c r="G159">
        <f t="shared" si="10"/>
        <v>2.2132520521963968</v>
      </c>
    </row>
    <row r="160" spans="1:7" x14ac:dyDescent="0.2">
      <c r="B160">
        <f t="shared" si="8"/>
        <v>3.7376696182833684</v>
      </c>
      <c r="C160">
        <f t="shared" si="9"/>
        <v>8.3096768959877263</v>
      </c>
      <c r="D160">
        <v>1</v>
      </c>
      <c r="G160">
        <f t="shared" si="10"/>
        <v>2.2027606873931997</v>
      </c>
    </row>
    <row r="161" spans="1:12" x14ac:dyDescent="0.2">
      <c r="B161">
        <f t="shared" si="8"/>
        <v>3.6988297849671046</v>
      </c>
      <c r="C161">
        <f t="shared" si="9"/>
        <v>8.4563810520194806</v>
      </c>
      <c r="D161">
        <v>1</v>
      </c>
      <c r="G161">
        <f t="shared" si="10"/>
        <v>2.0780941504064105</v>
      </c>
    </row>
    <row r="162" spans="1:12" x14ac:dyDescent="0.2">
      <c r="B162">
        <f t="shared" si="8"/>
        <v>3.4011973816621555</v>
      </c>
      <c r="C162">
        <f t="shared" si="9"/>
        <v>8.4663208610424814</v>
      </c>
      <c r="D162">
        <v>1</v>
      </c>
      <c r="G162">
        <f t="shared" si="10"/>
        <v>2.0141003215196207</v>
      </c>
    </row>
    <row r="163" spans="1:12" x14ac:dyDescent="0.2">
      <c r="B163">
        <f t="shared" si="8"/>
        <v>3.572345637857985</v>
      </c>
      <c r="C163">
        <f t="shared" si="9"/>
        <v>8.4713586550724376</v>
      </c>
      <c r="D163">
        <v>1</v>
      </c>
      <c r="G163">
        <f t="shared" si="10"/>
        <v>2.0402066275747113</v>
      </c>
    </row>
    <row r="164" spans="1:12" x14ac:dyDescent="0.2">
      <c r="B164">
        <f t="shared" si="8"/>
        <v>3.5835189384561099</v>
      </c>
      <c r="C164">
        <f t="shared" si="9"/>
        <v>8.4902330098334549</v>
      </c>
      <c r="D164">
        <v>1</v>
      </c>
      <c r="G164">
        <f t="shared" si="10"/>
        <v>2.0737183503461227</v>
      </c>
    </row>
    <row r="165" spans="1:12" x14ac:dyDescent="0.2">
      <c r="B165">
        <f t="shared" si="8"/>
        <v>3.6054978451748854</v>
      </c>
      <c r="C165">
        <f t="shared" si="9"/>
        <v>8.5057277133069586</v>
      </c>
      <c r="D165">
        <v>1</v>
      </c>
      <c r="G165">
        <f t="shared" si="10"/>
        <v>2.0711452904510828</v>
      </c>
    </row>
    <row r="166" spans="1:12" x14ac:dyDescent="0.2">
      <c r="B166">
        <f t="shared" si="8"/>
        <v>3.5145260669691587</v>
      </c>
      <c r="C166">
        <f t="shared" si="9"/>
        <v>8.5143892640835031</v>
      </c>
      <c r="D166">
        <v>1</v>
      </c>
      <c r="G166">
        <f t="shared" si="10"/>
        <v>2.0464951643347082</v>
      </c>
    </row>
    <row r="167" spans="1:12" x14ac:dyDescent="0.2">
      <c r="B167">
        <f t="shared" si="8"/>
        <v>3.5610460826040513</v>
      </c>
      <c r="C167">
        <f t="shared" si="9"/>
        <v>8.5153915694696085</v>
      </c>
      <c r="D167">
        <v>1</v>
      </c>
      <c r="G167">
        <f t="shared" si="10"/>
        <v>2.0511525224473814</v>
      </c>
    </row>
    <row r="168" spans="1:12" x14ac:dyDescent="0.2">
      <c r="B168">
        <f>E152</f>
        <v>3.5779478934066544</v>
      </c>
      <c r="C168">
        <f t="shared" si="9"/>
        <v>8.5448083584492114</v>
      </c>
      <c r="D168">
        <v>1</v>
      </c>
      <c r="G168">
        <f t="shared" si="10"/>
        <v>2.0557604646877348</v>
      </c>
    </row>
    <row r="171" spans="1:12" x14ac:dyDescent="0.2">
      <c r="A171" t="s">
        <v>136</v>
      </c>
      <c r="B171" cm="1">
        <f t="array" ref="B171:D173">MMULT(TRANSPOSE(B157:D168),B157:D168)</f>
        <v>159.35411476171694</v>
      </c>
      <c r="C171">
        <v>366.49559613718606</v>
      </c>
      <c r="D171">
        <v>43.701547144429284</v>
      </c>
      <c r="F171" t="s">
        <v>175</v>
      </c>
      <c r="G171" cm="1">
        <f t="array" ref="G171:I173">MINVERSE(_xlfn.ANCHORARRAY(B171))</f>
        <v>10.644299776554488</v>
      </c>
      <c r="H171">
        <v>5.9893789118970799</v>
      </c>
      <c r="I171">
        <v>-89.019593519226149</v>
      </c>
      <c r="K171" t="s">
        <v>158</v>
      </c>
      <c r="L171" cm="1">
        <f t="array" ref="L171:L173">MMULT(TRANSPOSE(B157:D168),G157:G168)</f>
        <v>92.136826771944499</v>
      </c>
    </row>
    <row r="172" spans="1:12" x14ac:dyDescent="0.2">
      <c r="B172">
        <v>366.49559613718606</v>
      </c>
      <c r="C172">
        <v>845.19244660997845</v>
      </c>
      <c r="D172">
        <v>100.68869620659301</v>
      </c>
      <c r="G172">
        <v>5.9893789118975302</v>
      </c>
      <c r="H172">
        <v>6.2999481054809081</v>
      </c>
      <c r="I172">
        <v>-74.673223816184063</v>
      </c>
      <c r="L172">
        <v>211.90367512755677</v>
      </c>
    </row>
    <row r="173" spans="1:12" x14ac:dyDescent="0.2">
      <c r="B173">
        <v>43.701547144429284</v>
      </c>
      <c r="C173">
        <v>100.68869620659301</v>
      </c>
      <c r="D173">
        <v>12</v>
      </c>
      <c r="G173">
        <v>-89.019593519229929</v>
      </c>
      <c r="H173">
        <v>-74.673223816182428</v>
      </c>
      <c r="I173">
        <v>950.83695921275637</v>
      </c>
      <c r="L173">
        <v>25.26974791561976</v>
      </c>
    </row>
    <row r="176" spans="1:12" x14ac:dyDescent="0.2">
      <c r="A176" t="s">
        <v>159</v>
      </c>
      <c r="B176" cm="1">
        <f t="array" ref="B176:B178">MMULT(_xlfn.ANCHORARRAY(G171),_xlfn.ANCHORARRAY(L171))</f>
        <v>0.40072000174359346</v>
      </c>
      <c r="C176" t="s">
        <v>160</v>
      </c>
    </row>
    <row r="177" spans="2:6" x14ac:dyDescent="0.2">
      <c r="B177">
        <v>-0.14901794029196935</v>
      </c>
      <c r="C177" t="s">
        <v>176</v>
      </c>
    </row>
    <row r="178" spans="2:6" x14ac:dyDescent="0.2">
      <c r="B178">
        <v>1.8968404989245755</v>
      </c>
      <c r="C178" t="s">
        <v>161</v>
      </c>
    </row>
    <row r="181" spans="2:6" x14ac:dyDescent="0.2">
      <c r="B181" t="s">
        <v>177</v>
      </c>
    </row>
    <row r="183" spans="2:6" x14ac:dyDescent="0.2">
      <c r="B183" s="5" t="s">
        <v>178</v>
      </c>
    </row>
    <row r="185" spans="2:6" x14ac:dyDescent="0.2">
      <c r="B185" t="s">
        <v>179</v>
      </c>
      <c r="C185">
        <f>EXP(B178)</f>
        <v>6.6648036872750476</v>
      </c>
    </row>
    <row r="187" spans="2:6" x14ac:dyDescent="0.2">
      <c r="B187" t="s">
        <v>180</v>
      </c>
      <c r="F187" s="9" t="s">
        <v>99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25EA-7080-9E48-BC4F-53082B362081}">
  <dimension ref="A1:I41"/>
  <sheetViews>
    <sheetView tabSelected="1" workbookViewId="0">
      <selection activeCell="B36" sqref="B36"/>
    </sheetView>
  </sheetViews>
  <sheetFormatPr baseColWidth="10" defaultRowHeight="16" x14ac:dyDescent="0.2"/>
  <cols>
    <col min="2" max="2" width="30.1640625" bestFit="1" customWidth="1"/>
  </cols>
  <sheetData>
    <row r="1" spans="1:7" x14ac:dyDescent="0.2">
      <c r="A1" s="4" t="s">
        <v>18</v>
      </c>
      <c r="B1" s="4" t="s">
        <v>19</v>
      </c>
      <c r="C1" s="4" t="s">
        <v>20</v>
      </c>
    </row>
    <row r="2" spans="1:7" x14ac:dyDescent="0.2">
      <c r="A2" s="3">
        <v>2000</v>
      </c>
      <c r="B2" s="3">
        <v>14</v>
      </c>
      <c r="C2" s="3">
        <v>1</v>
      </c>
      <c r="F2" cm="1">
        <f t="array" ref="F2:G6">LINEST(B2:B21,C2:C21,1,1)</f>
        <v>0.37165413533834585</v>
      </c>
      <c r="G2">
        <v>13.522631578947365</v>
      </c>
    </row>
    <row r="3" spans="1:7" x14ac:dyDescent="0.2">
      <c r="A3" s="3">
        <v>2001</v>
      </c>
      <c r="B3" s="3">
        <v>14.9</v>
      </c>
      <c r="C3" s="3">
        <v>2</v>
      </c>
      <c r="F3">
        <v>1.105609775211909E-2</v>
      </c>
      <c r="G3">
        <v>0.13244263736381587</v>
      </c>
    </row>
    <row r="4" spans="1:7" x14ac:dyDescent="0.2">
      <c r="A4" s="3">
        <v>2002</v>
      </c>
      <c r="B4" s="3">
        <v>14.5</v>
      </c>
      <c r="C4" s="3">
        <v>3</v>
      </c>
      <c r="F4">
        <v>0.98432040666404663</v>
      </c>
      <c r="G4">
        <v>0.28511015913228088</v>
      </c>
    </row>
    <row r="5" spans="1:7" x14ac:dyDescent="0.2">
      <c r="A5" s="3">
        <v>2003</v>
      </c>
      <c r="B5" s="3">
        <v>15.3</v>
      </c>
      <c r="C5" s="3">
        <v>4</v>
      </c>
      <c r="F5">
        <v>1129.9889570047719</v>
      </c>
      <c r="G5">
        <v>18</v>
      </c>
    </row>
    <row r="6" spans="1:7" x14ac:dyDescent="0.2">
      <c r="A6" s="3">
        <v>2004</v>
      </c>
      <c r="B6" s="3">
        <v>15.3</v>
      </c>
      <c r="C6" s="3">
        <v>5</v>
      </c>
      <c r="F6">
        <v>91.854319548872141</v>
      </c>
      <c r="G6">
        <v>1.4631804511278215</v>
      </c>
    </row>
    <row r="7" spans="1:7" x14ac:dyDescent="0.2">
      <c r="A7" s="3">
        <v>2005</v>
      </c>
      <c r="B7" s="3">
        <v>15.2</v>
      </c>
      <c r="C7" s="3">
        <v>6</v>
      </c>
    </row>
    <row r="8" spans="1:7" x14ac:dyDescent="0.2">
      <c r="A8" s="3">
        <v>2006</v>
      </c>
      <c r="B8" s="3">
        <v>15.8</v>
      </c>
      <c r="C8" s="3">
        <v>7</v>
      </c>
    </row>
    <row r="9" spans="1:7" x14ac:dyDescent="0.2">
      <c r="A9" s="3">
        <v>2007</v>
      </c>
      <c r="B9" s="3">
        <v>16.5</v>
      </c>
      <c r="C9" s="3">
        <v>8</v>
      </c>
    </row>
    <row r="10" spans="1:7" x14ac:dyDescent="0.2">
      <c r="A10" s="3">
        <v>2008</v>
      </c>
      <c r="B10" s="3">
        <v>16.600000000000001</v>
      </c>
      <c r="C10" s="3">
        <v>9</v>
      </c>
    </row>
    <row r="11" spans="1:7" x14ac:dyDescent="0.2">
      <c r="A11" s="3">
        <v>2009</v>
      </c>
      <c r="B11" s="3">
        <v>17</v>
      </c>
      <c r="C11" s="3">
        <v>10</v>
      </c>
    </row>
    <row r="12" spans="1:7" x14ac:dyDescent="0.2">
      <c r="A12" s="3">
        <v>2010</v>
      </c>
      <c r="B12" s="3">
        <v>17.7</v>
      </c>
      <c r="C12" s="3">
        <v>11</v>
      </c>
    </row>
    <row r="13" spans="1:7" x14ac:dyDescent="0.2">
      <c r="A13" s="3">
        <v>2011</v>
      </c>
      <c r="B13" s="3">
        <v>17.7</v>
      </c>
      <c r="C13" s="3">
        <v>12</v>
      </c>
    </row>
    <row r="14" spans="1:7" x14ac:dyDescent="0.2">
      <c r="A14" s="3">
        <v>2012</v>
      </c>
      <c r="B14" s="3">
        <v>18.8</v>
      </c>
      <c r="C14" s="3">
        <v>13</v>
      </c>
    </row>
    <row r="15" spans="1:7" x14ac:dyDescent="0.2">
      <c r="A15" s="3">
        <v>2013</v>
      </c>
      <c r="B15" s="3">
        <v>18.7</v>
      </c>
      <c r="C15" s="3">
        <v>14</v>
      </c>
    </row>
    <row r="16" spans="1:7" x14ac:dyDescent="0.2">
      <c r="A16" s="3">
        <v>2014</v>
      </c>
      <c r="B16" s="3">
        <v>19.100000000000001</v>
      </c>
      <c r="C16" s="3">
        <v>15</v>
      </c>
    </row>
    <row r="17" spans="1:3" x14ac:dyDescent="0.2">
      <c r="A17" s="3">
        <v>2015</v>
      </c>
      <c r="B17" s="3">
        <v>19.600000000000001</v>
      </c>
      <c r="C17" s="3">
        <v>16</v>
      </c>
    </row>
    <row r="18" spans="1:3" x14ac:dyDescent="0.2">
      <c r="A18" s="3">
        <v>2016</v>
      </c>
      <c r="B18" s="3">
        <v>20</v>
      </c>
      <c r="C18" s="3">
        <v>17</v>
      </c>
    </row>
    <row r="19" spans="1:3" x14ac:dyDescent="0.2">
      <c r="A19" s="3">
        <v>2017</v>
      </c>
      <c r="B19" s="3">
        <v>20.399999999999999</v>
      </c>
      <c r="C19" s="3">
        <v>18</v>
      </c>
    </row>
    <row r="20" spans="1:3" x14ac:dyDescent="0.2">
      <c r="A20" s="3">
        <v>2018</v>
      </c>
      <c r="B20" s="3">
        <v>20.399999999999999</v>
      </c>
      <c r="C20" s="3">
        <v>19</v>
      </c>
    </row>
    <row r="21" spans="1:3" x14ac:dyDescent="0.2">
      <c r="A21" s="3">
        <v>2019</v>
      </c>
      <c r="B21" s="3">
        <v>21</v>
      </c>
      <c r="C21" s="3">
        <v>20</v>
      </c>
    </row>
    <row r="24" spans="1:3" x14ac:dyDescent="0.2">
      <c r="A24" t="s">
        <v>184</v>
      </c>
    </row>
    <row r="25" spans="1:3" ht="17" thickBot="1" x14ac:dyDescent="0.25"/>
    <row r="26" spans="1:3" x14ac:dyDescent="0.2">
      <c r="A26" s="15" t="s">
        <v>185</v>
      </c>
      <c r="B26" s="15"/>
    </row>
    <row r="27" spans="1:3" x14ac:dyDescent="0.2">
      <c r="A27" s="12" t="s">
        <v>186</v>
      </c>
      <c r="B27" s="12">
        <v>0.99212922881248022</v>
      </c>
    </row>
    <row r="28" spans="1:3" x14ac:dyDescent="0.2">
      <c r="A28" s="12" t="s">
        <v>187</v>
      </c>
      <c r="B28" s="12">
        <v>0.98432040666404663</v>
      </c>
    </row>
    <row r="29" spans="1:3" x14ac:dyDescent="0.2">
      <c r="A29" s="12" t="s">
        <v>188</v>
      </c>
      <c r="B29" s="12">
        <v>0.9834493181453825</v>
      </c>
    </row>
    <row r="30" spans="1:3" x14ac:dyDescent="0.2">
      <c r="A30" s="12" t="s">
        <v>189</v>
      </c>
      <c r="B30" s="39">
        <v>0.28511015913228088</v>
      </c>
    </row>
    <row r="31" spans="1:3" ht="17" thickBot="1" x14ac:dyDescent="0.25">
      <c r="A31" s="13" t="s">
        <v>190</v>
      </c>
      <c r="B31" s="13">
        <v>20</v>
      </c>
    </row>
    <row r="33" spans="1:9" ht="17" thickBot="1" x14ac:dyDescent="0.25">
      <c r="A33" t="s">
        <v>191</v>
      </c>
    </row>
    <row r="34" spans="1:9" x14ac:dyDescent="0.2">
      <c r="A34" s="14"/>
      <c r="B34" s="14" t="s">
        <v>196</v>
      </c>
      <c r="C34" s="14" t="s">
        <v>197</v>
      </c>
      <c r="D34" s="14" t="s">
        <v>198</v>
      </c>
      <c r="E34" s="14" t="s">
        <v>199</v>
      </c>
      <c r="F34" s="14" t="s">
        <v>200</v>
      </c>
    </row>
    <row r="35" spans="1:9" x14ac:dyDescent="0.2">
      <c r="A35" s="12" t="s">
        <v>192</v>
      </c>
      <c r="B35" s="12">
        <v>1</v>
      </c>
      <c r="C35" s="12">
        <v>91.854319548872141</v>
      </c>
      <c r="D35" s="12">
        <v>91.854319548872141</v>
      </c>
      <c r="E35" s="12">
        <v>1129.9889570047719</v>
      </c>
      <c r="F35" s="12">
        <v>1.0699775124856748E-17</v>
      </c>
    </row>
    <row r="36" spans="1:9" x14ac:dyDescent="0.2">
      <c r="A36" s="12" t="s">
        <v>193</v>
      </c>
      <c r="B36" s="39">
        <v>18</v>
      </c>
      <c r="C36" s="12">
        <v>1.4631804511278215</v>
      </c>
      <c r="D36" s="12">
        <v>8.128780284043452E-2</v>
      </c>
      <c r="E36" s="12"/>
      <c r="F36" s="12"/>
    </row>
    <row r="37" spans="1:9" ht="17" thickBot="1" x14ac:dyDescent="0.25">
      <c r="A37" s="13" t="s">
        <v>194</v>
      </c>
      <c r="B37" s="13">
        <v>19</v>
      </c>
      <c r="C37" s="13">
        <v>93.317499999999967</v>
      </c>
      <c r="D37" s="13"/>
      <c r="E37" s="13"/>
      <c r="F37" s="13"/>
    </row>
    <row r="38" spans="1:9" ht="17" thickBot="1" x14ac:dyDescent="0.25"/>
    <row r="39" spans="1:9" x14ac:dyDescent="0.2">
      <c r="A39" s="14"/>
      <c r="B39" s="14" t="s">
        <v>201</v>
      </c>
      <c r="C39" s="14" t="s">
        <v>189</v>
      </c>
      <c r="D39" s="14" t="s">
        <v>202</v>
      </c>
      <c r="E39" s="14" t="s">
        <v>203</v>
      </c>
      <c r="F39" s="14" t="s">
        <v>204</v>
      </c>
      <c r="G39" s="14" t="s">
        <v>205</v>
      </c>
      <c r="H39" s="14" t="s">
        <v>206</v>
      </c>
      <c r="I39" s="14" t="s">
        <v>207</v>
      </c>
    </row>
    <row r="40" spans="1:9" x14ac:dyDescent="0.2">
      <c r="A40" s="12" t="s">
        <v>195</v>
      </c>
      <c r="B40" s="12">
        <v>13.522631578947365</v>
      </c>
      <c r="C40" s="12">
        <v>0.13244263736381587</v>
      </c>
      <c r="D40" s="12">
        <v>102.10179930048592</v>
      </c>
      <c r="E40" s="12">
        <v>2.4929898706091898E-26</v>
      </c>
      <c r="F40" s="12">
        <v>13.244379923042073</v>
      </c>
      <c r="G40" s="12">
        <v>13.800883234852657</v>
      </c>
      <c r="H40" s="12">
        <v>13.292967621530329</v>
      </c>
      <c r="I40" s="12">
        <v>13.752295536364402</v>
      </c>
    </row>
    <row r="41" spans="1:9" ht="17" thickBot="1" x14ac:dyDescent="0.25">
      <c r="A41" s="13" t="s">
        <v>20</v>
      </c>
      <c r="B41" s="13">
        <v>0.37165413533834585</v>
      </c>
      <c r="C41" s="13">
        <v>1.105609775211909E-2</v>
      </c>
      <c r="D41" s="13">
        <v>33.615308372894226</v>
      </c>
      <c r="E41" s="13">
        <v>1.0699775124856672E-17</v>
      </c>
      <c r="F41" s="13">
        <v>0.34842613589185945</v>
      </c>
      <c r="G41" s="13">
        <v>0.39488213478483225</v>
      </c>
      <c r="H41" s="13">
        <v>0.35248215859519016</v>
      </c>
      <c r="I41" s="13">
        <v>0.39082611208150153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10</vt:i4>
      </vt:variant>
    </vt:vector>
  </HeadingPairs>
  <TitlesOfParts>
    <vt:vector size="10" baseType="lpstr">
      <vt:lpstr>modul_1_pokazowy</vt:lpstr>
      <vt:lpstr>modul_2_pokazowy</vt:lpstr>
      <vt:lpstr>modul_3_pokazowy</vt:lpstr>
      <vt:lpstr>modul_4_pokazowy</vt:lpstr>
      <vt:lpstr>modul_5_pokazowy</vt:lpstr>
      <vt:lpstr>modul_1_samodzielne</vt:lpstr>
      <vt:lpstr>modul_2_samodzielne</vt:lpstr>
      <vt:lpstr>modul_3_samodzielne</vt:lpstr>
      <vt:lpstr>modul_4_samodzielne</vt:lpstr>
      <vt:lpstr>modul_5_samodzielne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Mucha-Balcerek</dc:creator>
  <cp:lastModifiedBy>Marta Mucha-Balcerek</cp:lastModifiedBy>
  <dcterms:created xsi:type="dcterms:W3CDTF">2026-05-06T08:24:44Z</dcterms:created>
  <dcterms:modified xsi:type="dcterms:W3CDTF">2026-05-26T11:24:34Z</dcterms:modified>
</cp:coreProperties>
</file>