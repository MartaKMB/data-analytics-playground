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Mucha-Balcerek\Desktop\Metody Analizy Danych\"/>
    </mc:Choice>
  </mc:AlternateContent>
  <xr:revisionPtr revIDLastSave="0" documentId="13_ncr:1_{4EE1A25A-382F-4431-9E3B-175B9995380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ceny Matematyka" sheetId="1" r:id="rId1"/>
    <sheet name="tabela-do-kolumnowy-2" sheetId="2" r:id="rId2"/>
    <sheet name="kolumnowy-2" sheetId="3" r:id="rId3"/>
  </sheets>
  <definedNames>
    <definedName name="_xlchart.v1.0" hidden="1">'Oceny Matematyka'!$G$1</definedName>
    <definedName name="_xlchart.v1.1" hidden="1">'Oceny Matematyka'!$G$2:$G$26</definedName>
    <definedName name="_xlchart.v1.2" hidden="1">'Oceny Matematyka'!$A$28</definedName>
    <definedName name="_xlchart.v1.3" hidden="1">'Oceny Matematyka'!$B$28:$F$28</definedName>
    <definedName name="_xlchart.v1.4" hidden="1">'Oceny Matematyka'!$G$1</definedName>
    <definedName name="_xlchart.v1.5" hidden="1">'Oceny Matematyka'!$G$2:$G$26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L4" i="1"/>
  <c r="M4" i="1"/>
  <c r="N4" i="1"/>
  <c r="O4" i="1"/>
  <c r="P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C28" i="1"/>
  <c r="D28" i="1"/>
  <c r="E28" i="1"/>
  <c r="F28" i="1"/>
  <c r="B28" i="1"/>
</calcChain>
</file>

<file path=xl/sharedStrings.xml><?xml version="1.0" encoding="utf-8"?>
<sst xmlns="http://schemas.openxmlformats.org/spreadsheetml/2006/main" count="44" uniqueCount="44">
  <si>
    <t>ID ucznia</t>
  </si>
  <si>
    <t>1A01</t>
  </si>
  <si>
    <t>1A02</t>
  </si>
  <si>
    <t>1A03</t>
  </si>
  <si>
    <t>1A04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</si>
  <si>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</si>
  <si>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</si>
  <si>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</si>
  <si>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</si>
  <si>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</si>
  <si>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</si>
  <si>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</si>
  <si>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</si>
  <si>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</si>
  <si>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</si>
  <si>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</si>
  <si>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</si>
  <si>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</si>
  <si>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</si>
  <si>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</si>
  <si>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1A20</t>
  </si>
  <si>
    <t>1A21</t>
  </si>
  <si>
    <t>1A22</t>
  </si>
  <si>
    <t>1A23</t>
  </si>
  <si>
    <t>1A24</t>
  </si>
  <si>
    <t>1A25</t>
  </si>
  <si>
    <t>Średnia (uzupełnij)</t>
  </si>
  <si>
    <t>Kartkówka 1 (waga 1)</t>
  </si>
  <si>
    <t>Kartkówka 2 (waga 1)</t>
  </si>
  <si>
    <t>Sprawdzian 1 (waga 3)</t>
  </si>
  <si>
    <t>Sprawdzian 2 (waga 3)</t>
  </si>
  <si>
    <t>Praca domowa (waga 1)</t>
  </si>
  <si>
    <t>Ocena (uzupełnij)</t>
  </si>
  <si>
    <t>średnia</t>
  </si>
  <si>
    <t>Oceny - podsumowanie</t>
  </si>
  <si>
    <t>ocena</t>
  </si>
  <si>
    <t>liczba osób</t>
  </si>
  <si>
    <t>Wydatki</t>
  </si>
  <si>
    <t>zakupy</t>
  </si>
  <si>
    <t>transport</t>
  </si>
  <si>
    <t>wyżywienie</t>
  </si>
  <si>
    <t>zakwaterowanie</t>
  </si>
  <si>
    <t>usługi rekreacyjne</t>
  </si>
  <si>
    <t>inne wydatki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</si>
</sst>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10" fontId="0" fillId="0" borderId="0" xfId="0" applyNumberFormat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'Oceny Matematyka'!$J$4</c:f>
              <c:strCache>
                <c:ptCount val="1"/>
                <c:pt idx="0">
                  <c:v>liczba osób</c:v>
                </c:pt>
              </c:strCache>
            </c:strRef>
          </c:tx>
          <c:spPr>
            <a:pattFill prst="pct80">
              <a:fgClr>
                <a:schemeClr val="accent2"/>
              </a:fgClr>
              <a:bgClr>
                <a:schemeClr val="bg1"/>
              </a:bgClr>
            </a:pattFill>
            <a:ln w="12700">
              <a:solidFill>
                <a:schemeClr val="accent2"/>
              </a:solidFill>
            </a:ln>
            <a:effectLst/>
          </c:spPr>
          <c:invertIfNegative val="0"/>
          <c:cat>
            <c:numRef>
              <c:f>'Oceny Matematyka'!$K$3:$P$3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'Oceny Matematyka'!$K$4:$P$4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19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2-4734-979E-7F39C349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917440"/>
        <c:axId val="1394906400"/>
      </c:barChart>
      <c:catAx>
        <c:axId val="13949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ocena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94906400"/>
        <c:crosses val="autoZero"/>
        <c:auto val="1"/>
        <c:lblAlgn val="ctr"/>
        <c:lblOffset val="100"/>
        <c:noMultiLvlLbl val="0"/>
      </c:catAx>
      <c:valAx>
        <c:axId val="13949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liczba</a:t>
                </a:r>
                <a:r>
                  <a:rPr lang="en-US" baseline="0"/>
                  <a:t> osób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9491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</a:t>
            </a:r>
            <a:r>
              <a:rPr lang="en-US"/>
              <a:t> sprawdzianów i kartkówek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'Oceny Matematyka'!$A$28</c:f>
              <c:strCache>
                <c:ptCount val="1"/>
                <c:pt idx="0">
                  <c:v>średnia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6">
                  <a:lumMod val="75000"/>
                </a:schemeClr>
              </a:solidFill>
              <a:ln w="9525" cap="sq">
                <a:solidFill>
                  <a:schemeClr val="tx1">
                    <a:alpha val="97000"/>
                  </a:schemeClr>
                </a:solidFill>
              </a:ln>
              <a:effectLst/>
            </c:spPr>
          </c:marker>
          <c:dPt>
            <c:idx val="1"/>
            <c:marker>
              <c:symbol val="triangle"/>
              <c:size val="12"/>
              <c:spPr>
                <a:solidFill>
                  <a:srgbClr val="FFFF00"/>
                </a:solidFill>
                <a:ln w="9525" cap="sq">
                  <a:solidFill>
                    <a:schemeClr val="tx1">
                      <a:alpha val="9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433-437E-B146-8C621B4304D1}"/>
              </c:ext>
            </c:extLst>
          </c:dPt>
          <c:dPt>
            <c:idx val="2"/>
            <c:marker>
              <c:symbol val="square"/>
              <c:size val="12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 cap="sq">
                  <a:solidFill>
                    <a:schemeClr val="tx1">
                      <a:alpha val="9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433-437E-B146-8C621B4304D1}"/>
              </c:ext>
            </c:extLst>
          </c:dPt>
          <c:dPt>
            <c:idx val="3"/>
            <c:marker>
              <c:symbol val="diamond"/>
              <c:size val="12"/>
              <c:spPr>
                <a:solidFill>
                  <a:srgbClr val="92D050"/>
                </a:solidFill>
                <a:ln w="9525" cap="sq">
                  <a:solidFill>
                    <a:schemeClr val="tx1">
                      <a:alpha val="9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433-437E-B146-8C621B4304D1}"/>
              </c:ext>
            </c:extLst>
          </c:dPt>
          <c:dPt>
            <c:idx val="4"/>
            <c:marker>
              <c:symbol val="circle"/>
              <c:size val="12"/>
              <c:spPr>
                <a:solidFill>
                  <a:srgbClr val="00B0F0"/>
                </a:solidFill>
                <a:ln w="9525" cap="sq">
                  <a:solidFill>
                    <a:schemeClr val="tx1">
                      <a:alpha val="9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433-437E-B146-8C621B4304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'Oceny Matematyka'!$B$1:$F$1</c:f>
              <c:strCache>
                <c:ptCount val="5"/>
                <c:pt idx="0">
                  <c:v>Kartkówka 1 (waga 1)</c:v>
                </c:pt>
                <c:pt idx="1">
                  <c:v>Kartkówka 2 (waga 1)</c:v>
                </c:pt>
                <c:pt idx="2">
                  <c:v>Sprawdzian 1 (waga 3)</c:v>
                </c:pt>
                <c:pt idx="3">
                  <c:v>Sprawdzian 2 (waga 3)</c:v>
                </c:pt>
                <c:pt idx="4">
                  <c:v>Praca domowa (waga 1)</c:v>
                </c:pt>
              </c:strCache>
            </c:strRef>
          </c:cat>
          <c:val>
            <c:numRef>
              <c:f>'Oceny Matematyka'!$B$28:$F$28</c:f>
              <c:numCache>
                <c:formatCode>General</c:formatCode>
                <c:ptCount val="5"/>
                <c:pt idx="0">
                  <c:v>3.4</c:v>
                </c:pt>
                <c:pt idx="1">
                  <c:v>3.16</c:v>
                </c:pt>
                <c:pt idx="2">
                  <c:v>3.2</c:v>
                </c:pt>
                <c:pt idx="3">
                  <c:v>3.44</c:v>
                </c:pt>
                <c:pt idx="4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3-437E-B146-8C621B4304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0679136"/>
        <c:axId val="1480677216"/>
      </c:lineChart>
      <c:catAx>
        <c:axId val="14806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0677216"/>
        <c:crosses val="autoZero"/>
        <c:auto val="1"/>
        <c:lblAlgn val="ctr"/>
        <c:lblOffset val="100"/>
        <c:noMultiLvlLbl val="0"/>
      </c:catAx>
      <c:valAx>
        <c:axId val="14806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067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wydatki</a:t>
            </a:r>
            <a:r>
              <a:rPr lang="en-US" baseline="0"/>
              <a:t> turystów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  <a:sp3d/>
          </c:spPr>
          <c:invertIfNegative val="0"/>
          <c:cat>
            <c:strRef>
              <c:f>'tabela-do-kolumnowy-2'!$A$2:$A$7</c:f>
              <c:strCache>
                <c:ptCount val="6"/>
                <c:pt idx="0">
                  <c:v>zakupy</c:v>
                </c:pt>
                <c:pt idx="1">
                  <c:v>transport</c:v>
                </c:pt>
                <c:pt idx="2">
                  <c:v>wyżywienie</c:v>
                </c:pt>
                <c:pt idx="3">
                  <c:v>zakwaterowanie</c:v>
                </c:pt>
                <c:pt idx="4">
                  <c:v>usługi rekreacyjne</c:v>
                </c:pt>
                <c:pt idx="5">
                  <c:v>inne wydatki</c:v>
                </c:pt>
              </c:strCache>
            </c:strRef>
          </c:cat>
          <c:val>
            <c:numRef>
              <c:f>'tabela-do-kolumnowy-2'!$B$2:$B$7</c:f>
              <c:numCache>
                <c:formatCode>0.00%</c:formatCode>
                <c:ptCount val="6"/>
                <c:pt idx="0">
                  <c:v>0.26</c:v>
                </c:pt>
                <c:pt idx="1">
                  <c:v>0.09</c:v>
                </c:pt>
                <c:pt idx="2">
                  <c:v>0.2</c:v>
                </c:pt>
                <c:pt idx="3">
                  <c:v>0.31</c:v>
                </c:pt>
                <c:pt idx="4">
                  <c:v>0.08</c:v>
                </c:pt>
                <c:pt idx="5">
                  <c:v>0.06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BF71-47B8-9461-6D6BF96046CA}"/>
            </c:ext>
          </c:extLst>
        </c:ser>
        <c:ser>
          <c:idx val="1"/>
          <c:order val="1"/>
          <c:spPr>
            <a:pattFill prst="pct5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'tabela-do-kolumnowy-2'!$A$2:$A$7</c:f>
              <c:strCache>
                <c:ptCount val="6"/>
                <c:pt idx="0">
                  <c:v>zakupy</c:v>
                </c:pt>
                <c:pt idx="1">
                  <c:v>transport</c:v>
                </c:pt>
                <c:pt idx="2">
                  <c:v>wyżywienie</c:v>
                </c:pt>
                <c:pt idx="3">
                  <c:v>zakwaterowanie</c:v>
                </c:pt>
                <c:pt idx="4">
                  <c:v>usługi rekreacyjne</c:v>
                </c:pt>
                <c:pt idx="5">
                  <c:v>inne wydatki</c:v>
                </c:pt>
              </c:strCache>
            </c:strRef>
          </c:cat>
          <c:val>
            <c:numRef>
              <c:f>'tabela-do-kolumnowy-2'!$C$2:$C$7</c:f>
              <c:numCache>
                <c:formatCode>0.00%</c:formatCode>
                <c:ptCount val="6"/>
                <c:pt idx="0">
                  <c:v>0.27</c:v>
                </c:pt>
                <c:pt idx="1">
                  <c:v>0.09</c:v>
                </c:pt>
                <c:pt idx="2">
                  <c:v>0.21</c:v>
                </c:pt>
                <c:pt idx="3">
                  <c:v>0.3</c:v>
                </c:pt>
                <c:pt idx="4">
                  <c:v>0.09</c:v>
                </c:pt>
                <c:pt idx="5">
                  <c:v>0.04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BF71-47B8-9461-6D6BF960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9965536"/>
        <c:axId val="1479963136"/>
        <c:axId val="1478549440"/>
      </c:bar3DChart>
      <c:catAx>
        <c:axId val="147996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l-PL"/>
          </a:p>
        </c:txPr>
        <c:crossAx val="1479963136"/>
        <c:crosses val="autoZero"/>
        <c:auto val="1"/>
        <c:lblAlgn val="ctr"/>
        <c:lblOffset val="100"/>
        <c:noMultiLvlLbl val="0"/>
      </c:catAx>
      <c:valAx>
        <c:axId val="147996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9965536"/>
        <c:crosses val="autoZero"/>
        <c:crossBetween val="between"/>
      </c:valAx>
      <c:serAx>
        <c:axId val="14785494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79963136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średnia</a:t>
            </a:r>
            <a:endPara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C6970C88-9BE6-4A84-80E1-275AA32AD462}">
          <cx:tx>
            <cx:txData>
              <cx:f>_xlchart.v1.0</cx:f>
              <cx:v>Średnia (uzupełnij)</cx:v>
            </cx:txData>
          </cx:tx>
          <cx:spPr>
            <a:ln w="25400">
              <a:solidFill>
                <a:srgbClr val="F79646"/>
              </a:solidFill>
            </a:ln>
          </cx:spPr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  <cx:spPr>
    <a:gradFill>
      <a:gsLst>
        <a:gs pos="80000">
          <a:schemeClr val="accent6">
            <a:lumMod val="17000"/>
            <a:lumOff val="83000"/>
          </a:schemeClr>
        </a:gs>
        <a:gs pos="88000">
          <a:schemeClr val="accent1">
            <a:lumMod val="45000"/>
            <a:lumOff val="55000"/>
          </a:schemeClr>
        </a:gs>
        <a:gs pos="99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5400"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37A5C7-760B-4A99-B3E0-9B913AB793AC}">
  <sheetPr/>
  <sheetViews>
    <sheetView tabSelected="1"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38</xdr:row>
      <xdr:rowOff>23812</xdr:rowOff>
    </xdr:from>
    <xdr:to>
      <xdr:col>16</xdr:col>
      <xdr:colOff>257175</xdr:colOff>
      <xdr:row>52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7565F087-CA4C-BBE3-A639-CC73916B14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7100" y="7434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9</xdr:col>
      <xdr:colOff>9525</xdr:colOff>
      <xdr:row>22</xdr:row>
      <xdr:rowOff>4762</xdr:rowOff>
    </xdr:from>
    <xdr:to>
      <xdr:col>16</xdr:col>
      <xdr:colOff>238125</xdr:colOff>
      <xdr:row>36</xdr:row>
      <xdr:rowOff>80962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4CC8681-4649-C75A-1D2D-6A0D4A63A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4</xdr:row>
      <xdr:rowOff>176212</xdr:rowOff>
    </xdr:from>
    <xdr:to>
      <xdr:col>16</xdr:col>
      <xdr:colOff>257175</xdr:colOff>
      <xdr:row>19</xdr:row>
      <xdr:rowOff>61912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DCD78758-AAB4-C8E3-A0B9-DC46216B1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A86B75-EE86-0396-63BF-7821A0A980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workbookViewId="0">
      <selection activeCell="H20" sqref="H20"/>
    </sheetView>
  </sheetViews>
  <sheetFormatPr defaultRowHeight="15" x14ac:dyDescent="0.25"/>
  <cols>
    <col min="2" max="2" width="13.7109375" customWidth="1"/>
    <col min="3" max="4" width="13" customWidth="1"/>
    <col min="5" max="5" width="13.140625" customWidth="1"/>
    <col min="6" max="6" width="14" customWidth="1"/>
    <col min="7" max="7" width="13.5703125" customWidth="1"/>
    <col min="8" max="8" width="10" customWidth="1"/>
    <col min="10" max="10" width="10.28515625" customWidth="1"/>
  </cols>
  <sheetData>
    <row r="1" spans="1:16" ht="28.9" customHeight="1" x14ac:dyDescent="0.25">
      <c r="A1" s="1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26</v>
      </c>
      <c r="H1" s="2" t="s">
        <v>32</v>
      </c>
    </row>
    <row r="2" spans="1:16" x14ac:dyDescent="0.25">
      <c r="A2" t="s">
        <v>1</v>
      </c>
      <c r="B2">
        <v>2</v>
      </c>
      <c r="C2">
        <v>2</v>
      </c>
      <c r="D2">
        <v>2</v>
      </c>
      <c r="E2">
        <v>5</v>
      </c>
      <c r="F2">
        <v>4</v>
      </c>
      <c r="G2">
        <f>(B2+C2+(D2*3)+(E2*3)+F2)/9</f>
        <v>3.2222222222222223</v>
      </c>
      <c r="H2">
        <f>INT(G2)</f>
        <v>3</v>
      </c>
      <c r="K2" t="s">
        <v>34</v>
      </c>
    </row>
    <row r="3" spans="1:16" x14ac:dyDescent="0.25">
      <c r="A3" t="s">
        <v>2</v>
      </c>
      <c r="B3">
        <v>2</v>
      </c>
      <c r="C3">
        <v>3</v>
      </c>
      <c r="D3">
        <v>2</v>
      </c>
      <c r="E3">
        <v>4</v>
      </c>
      <c r="F3">
        <v>4</v>
      </c>
      <c r="G3">
        <f t="shared" ref="G3:G26" si="0">(B3+C3+(D3*3)+(E3*3)+F3)/9</f>
        <v>3</v>
      </c>
      <c r="H3">
        <f t="shared" ref="H3:H26" si="1">INT(G3)</f>
        <v>3</v>
      </c>
      <c r="J3" t="s">
        <v>35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</row>
    <row r="4" spans="1:16" x14ac:dyDescent="0.25">
      <c r="A4" t="s">
        <v>3</v>
      </c>
      <c r="B4">
        <v>4</v>
      </c>
      <c r="C4">
        <v>4</v>
      </c>
      <c r="D4">
        <v>5</v>
      </c>
      <c r="E4">
        <v>5</v>
      </c>
      <c r="F4">
        <v>3</v>
      </c>
      <c r="G4">
        <f t="shared" si="0"/>
        <v>4.5555555555555554</v>
      </c>
      <c r="H4">
        <f t="shared" si="1"/>
        <v>4</v>
      </c>
      <c r="J4" t="s">
        <v>36</v>
      </c>
      <c r="K4" s="3">
        <f>COUNTIF($H$2:$H$26,K3)</f>
        <v>0</v>
      </c>
      <c r="L4" s="3">
        <f t="shared" ref="L4:P4" si="2">COUNTIF($H$2:$H$26,L3)</f>
        <v>4</v>
      </c>
      <c r="M4" s="3">
        <f t="shared" si="2"/>
        <v>19</v>
      </c>
      <c r="N4" s="3">
        <f t="shared" si="2"/>
        <v>2</v>
      </c>
      <c r="O4" s="3">
        <f t="shared" si="2"/>
        <v>0</v>
      </c>
      <c r="P4" s="3">
        <f t="shared" si="2"/>
        <v>0</v>
      </c>
    </row>
    <row r="5" spans="1:16" x14ac:dyDescent="0.25">
      <c r="A5" t="s">
        <v>4</v>
      </c>
      <c r="B5">
        <v>5</v>
      </c>
      <c r="C5">
        <v>2</v>
      </c>
      <c r="D5">
        <v>4</v>
      </c>
      <c r="E5">
        <v>4</v>
      </c>
      <c r="F5">
        <v>2</v>
      </c>
      <c r="G5">
        <f t="shared" si="0"/>
        <v>3.6666666666666665</v>
      </c>
      <c r="H5">
        <f t="shared" si="1"/>
        <v>3</v>
      </c>
    </row>
    <row r="6" spans="1:16" x14ac:dyDescent="0.25">
      <c r="A6" t="s">
        <v>5</v>
      </c>
      <c r="B6">
        <v>2</v>
      </c>
      <c r="C6">
        <v>4</v>
      </c>
      <c r="D6">
        <v>2</v>
      </c>
      <c r="E6">
        <v>5</v>
      </c>
      <c r="F6">
        <v>4</v>
      </c>
      <c r="G6">
        <f t="shared" si="0"/>
        <v>3.4444444444444446</v>
      </c>
      <c r="H6">
        <f t="shared" si="1"/>
        <v>3</v>
      </c>
    </row>
    <row r="7" spans="1:16" x14ac:dyDescent="0.25">
      <c r="A7" t="s">
        <v>6</v>
      </c>
      <c r="B7">
        <v>5</v>
      </c>
      <c r="C7">
        <v>2</v>
      </c>
      <c r="D7">
        <v>3</v>
      </c>
      <c r="E7">
        <v>2</v>
      </c>
      <c r="F7">
        <v>2</v>
      </c>
      <c r="G7">
        <f t="shared" si="0"/>
        <v>2.6666666666666665</v>
      </c>
      <c r="H7">
        <f t="shared" si="1"/>
        <v>2</v>
      </c>
    </row>
    <row r="8" spans="1:16" x14ac:dyDescent="0.25">
      <c r="A8" t="s">
        <v>7</v>
      </c>
      <c r="B8">
        <v>2</v>
      </c>
      <c r="C8">
        <v>3</v>
      </c>
      <c r="D8">
        <v>3</v>
      </c>
      <c r="E8">
        <v>2</v>
      </c>
      <c r="F8">
        <v>4</v>
      </c>
      <c r="G8">
        <f t="shared" si="0"/>
        <v>2.6666666666666665</v>
      </c>
      <c r="H8">
        <f t="shared" si="1"/>
        <v>2</v>
      </c>
    </row>
    <row r="9" spans="1:16" x14ac:dyDescent="0.25">
      <c r="A9" t="s">
        <v>8</v>
      </c>
      <c r="B9">
        <v>4</v>
      </c>
      <c r="C9">
        <v>3</v>
      </c>
      <c r="D9">
        <v>3</v>
      </c>
      <c r="E9">
        <v>4</v>
      </c>
      <c r="F9">
        <v>4</v>
      </c>
      <c r="G9">
        <f t="shared" si="0"/>
        <v>3.5555555555555554</v>
      </c>
      <c r="H9">
        <f t="shared" si="1"/>
        <v>3</v>
      </c>
    </row>
    <row r="10" spans="1:16" x14ac:dyDescent="0.25">
      <c r="A10" t="s">
        <v>9</v>
      </c>
      <c r="B10">
        <v>3</v>
      </c>
      <c r="C10">
        <v>4</v>
      </c>
      <c r="D10">
        <v>4</v>
      </c>
      <c r="E10">
        <v>3</v>
      </c>
      <c r="F10">
        <v>3</v>
      </c>
      <c r="G10">
        <f t="shared" si="0"/>
        <v>3.4444444444444446</v>
      </c>
      <c r="H10">
        <f t="shared" si="1"/>
        <v>3</v>
      </c>
    </row>
    <row r="11" spans="1:16" x14ac:dyDescent="0.25">
      <c r="A11" t="s">
        <v>10</v>
      </c>
      <c r="B11">
        <v>4</v>
      </c>
      <c r="C11">
        <v>2</v>
      </c>
      <c r="D11">
        <v>4</v>
      </c>
      <c r="E11">
        <v>2</v>
      </c>
      <c r="F11">
        <v>4</v>
      </c>
      <c r="G11">
        <f t="shared" si="0"/>
        <v>3.1111111111111112</v>
      </c>
      <c r="H11">
        <f t="shared" si="1"/>
        <v>3</v>
      </c>
    </row>
    <row r="12" spans="1:16" x14ac:dyDescent="0.25">
      <c r="A12" t="s">
        <v>11</v>
      </c>
      <c r="B12">
        <v>2</v>
      </c>
      <c r="C12">
        <v>4</v>
      </c>
      <c r="D12">
        <v>2</v>
      </c>
      <c r="E12">
        <v>5</v>
      </c>
      <c r="F12">
        <v>5</v>
      </c>
      <c r="G12">
        <f t="shared" si="0"/>
        <v>3.5555555555555554</v>
      </c>
      <c r="H12">
        <f t="shared" si="1"/>
        <v>3</v>
      </c>
    </row>
    <row r="13" spans="1:16" x14ac:dyDescent="0.25">
      <c r="A13" t="s">
        <v>12</v>
      </c>
      <c r="B13">
        <v>3</v>
      </c>
      <c r="C13">
        <v>2</v>
      </c>
      <c r="D13">
        <v>4</v>
      </c>
      <c r="E13">
        <v>2</v>
      </c>
      <c r="F13">
        <v>5</v>
      </c>
      <c r="G13">
        <f t="shared" si="0"/>
        <v>3.1111111111111112</v>
      </c>
      <c r="H13">
        <f t="shared" si="1"/>
        <v>3</v>
      </c>
    </row>
    <row r="14" spans="1:16" x14ac:dyDescent="0.25">
      <c r="A14" t="s">
        <v>13</v>
      </c>
      <c r="B14">
        <v>4</v>
      </c>
      <c r="C14">
        <v>3</v>
      </c>
      <c r="D14">
        <v>2</v>
      </c>
      <c r="E14">
        <v>2</v>
      </c>
      <c r="F14">
        <v>2</v>
      </c>
      <c r="G14">
        <f t="shared" si="0"/>
        <v>2.3333333333333335</v>
      </c>
      <c r="H14">
        <f t="shared" si="1"/>
        <v>2</v>
      </c>
    </row>
    <row r="15" spans="1:16" x14ac:dyDescent="0.25">
      <c r="A15" t="s">
        <v>14</v>
      </c>
      <c r="B15">
        <v>4</v>
      </c>
      <c r="C15">
        <v>2</v>
      </c>
      <c r="D15">
        <v>5</v>
      </c>
      <c r="E15">
        <v>4</v>
      </c>
      <c r="F15">
        <v>2</v>
      </c>
      <c r="G15">
        <f t="shared" si="0"/>
        <v>3.8888888888888888</v>
      </c>
      <c r="H15">
        <f t="shared" si="1"/>
        <v>3</v>
      </c>
    </row>
    <row r="16" spans="1:16" x14ac:dyDescent="0.25">
      <c r="A16" t="s">
        <v>15</v>
      </c>
      <c r="B16">
        <v>5</v>
      </c>
      <c r="C16">
        <v>2</v>
      </c>
      <c r="D16">
        <v>4</v>
      </c>
      <c r="E16">
        <v>2</v>
      </c>
      <c r="F16">
        <v>4</v>
      </c>
      <c r="G16">
        <f t="shared" si="0"/>
        <v>3.2222222222222223</v>
      </c>
      <c r="H16">
        <f t="shared" si="1"/>
        <v>3</v>
      </c>
    </row>
    <row r="17" spans="1:8" x14ac:dyDescent="0.25">
      <c r="A17" t="s">
        <v>16</v>
      </c>
      <c r="B17">
        <v>4</v>
      </c>
      <c r="C17">
        <v>2</v>
      </c>
      <c r="D17">
        <v>4</v>
      </c>
      <c r="E17">
        <v>2</v>
      </c>
      <c r="F17">
        <v>5</v>
      </c>
      <c r="G17">
        <f t="shared" si="0"/>
        <v>3.2222222222222223</v>
      </c>
      <c r="H17">
        <f t="shared" si="1"/>
        <v>3</v>
      </c>
    </row>
    <row r="18" spans="1:8" x14ac:dyDescent="0.25">
      <c r="A18" t="s">
        <v>17</v>
      </c>
      <c r="B18">
        <v>4</v>
      </c>
      <c r="C18">
        <v>2</v>
      </c>
      <c r="D18">
        <v>5</v>
      </c>
      <c r="E18">
        <v>4</v>
      </c>
      <c r="F18">
        <v>5</v>
      </c>
      <c r="G18">
        <f t="shared" si="0"/>
        <v>4.2222222222222223</v>
      </c>
      <c r="H18">
        <f t="shared" si="1"/>
        <v>4</v>
      </c>
    </row>
    <row r="19" spans="1:8" x14ac:dyDescent="0.25">
      <c r="A19" t="s">
        <v>18</v>
      </c>
      <c r="B19">
        <v>4</v>
      </c>
      <c r="C19">
        <v>5</v>
      </c>
      <c r="D19">
        <v>2</v>
      </c>
      <c r="E19">
        <v>5</v>
      </c>
      <c r="F19">
        <v>4</v>
      </c>
      <c r="G19">
        <f t="shared" si="0"/>
        <v>3.7777777777777777</v>
      </c>
      <c r="H19">
        <f t="shared" si="1"/>
        <v>3</v>
      </c>
    </row>
    <row r="20" spans="1:8" x14ac:dyDescent="0.25">
      <c r="A20" t="s">
        <v>19</v>
      </c>
      <c r="B20">
        <v>2</v>
      </c>
      <c r="C20">
        <v>3</v>
      </c>
      <c r="D20">
        <v>2</v>
      </c>
      <c r="E20">
        <v>4</v>
      </c>
      <c r="F20">
        <v>3</v>
      </c>
      <c r="G20">
        <f t="shared" si="0"/>
        <v>2.8888888888888888</v>
      </c>
      <c r="H20">
        <f t="shared" si="1"/>
        <v>2</v>
      </c>
    </row>
    <row r="21" spans="1:8" x14ac:dyDescent="0.25">
      <c r="A21" t="s">
        <v>20</v>
      </c>
      <c r="B21">
        <v>4</v>
      </c>
      <c r="C21">
        <v>4</v>
      </c>
      <c r="D21">
        <v>2</v>
      </c>
      <c r="E21">
        <v>4</v>
      </c>
      <c r="F21">
        <v>5</v>
      </c>
      <c r="G21">
        <f t="shared" si="0"/>
        <v>3.4444444444444446</v>
      </c>
      <c r="H21">
        <f t="shared" si="1"/>
        <v>3</v>
      </c>
    </row>
    <row r="22" spans="1:8" x14ac:dyDescent="0.25">
      <c r="A22" t="s">
        <v>21</v>
      </c>
      <c r="B22">
        <v>5</v>
      </c>
      <c r="C22">
        <v>3</v>
      </c>
      <c r="D22">
        <v>3</v>
      </c>
      <c r="E22">
        <v>3</v>
      </c>
      <c r="F22">
        <v>2</v>
      </c>
      <c r="G22">
        <f t="shared" si="0"/>
        <v>3.1111111111111112</v>
      </c>
      <c r="H22">
        <f t="shared" si="1"/>
        <v>3</v>
      </c>
    </row>
    <row r="23" spans="1:8" x14ac:dyDescent="0.25">
      <c r="A23" t="s">
        <v>22</v>
      </c>
      <c r="B23">
        <v>2</v>
      </c>
      <c r="C23">
        <v>5</v>
      </c>
      <c r="D23">
        <v>5</v>
      </c>
      <c r="E23">
        <v>2</v>
      </c>
      <c r="F23">
        <v>4</v>
      </c>
      <c r="G23">
        <f t="shared" si="0"/>
        <v>3.5555555555555554</v>
      </c>
      <c r="H23">
        <f t="shared" si="1"/>
        <v>3</v>
      </c>
    </row>
    <row r="24" spans="1:8" x14ac:dyDescent="0.25">
      <c r="A24" t="s">
        <v>23</v>
      </c>
      <c r="B24">
        <v>2</v>
      </c>
      <c r="C24">
        <v>5</v>
      </c>
      <c r="D24">
        <v>3</v>
      </c>
      <c r="E24">
        <v>3</v>
      </c>
      <c r="F24">
        <v>5</v>
      </c>
      <c r="G24">
        <f t="shared" si="0"/>
        <v>3.3333333333333335</v>
      </c>
      <c r="H24">
        <f t="shared" si="1"/>
        <v>3</v>
      </c>
    </row>
    <row r="25" spans="1:8" x14ac:dyDescent="0.25">
      <c r="A25" t="s">
        <v>24</v>
      </c>
      <c r="B25">
        <v>4</v>
      </c>
      <c r="C25">
        <v>5</v>
      </c>
      <c r="D25">
        <v>2</v>
      </c>
      <c r="E25">
        <v>4</v>
      </c>
      <c r="F25">
        <v>2</v>
      </c>
      <c r="G25">
        <f t="shared" si="0"/>
        <v>3.2222222222222223</v>
      </c>
      <c r="H25">
        <f t="shared" si="1"/>
        <v>3</v>
      </c>
    </row>
    <row r="26" spans="1:8" x14ac:dyDescent="0.25">
      <c r="A26" t="s">
        <v>25</v>
      </c>
      <c r="B26">
        <v>3</v>
      </c>
      <c r="C26">
        <v>3</v>
      </c>
      <c r="D26">
        <v>3</v>
      </c>
      <c r="E26">
        <v>4</v>
      </c>
      <c r="F26">
        <v>4</v>
      </c>
      <c r="G26">
        <f t="shared" si="0"/>
        <v>3.4444444444444446</v>
      </c>
      <c r="H26">
        <f t="shared" si="1"/>
        <v>3</v>
      </c>
    </row>
    <row r="28" spans="1:8" x14ac:dyDescent="0.25">
      <c r="A28" s="4" t="s">
        <v>33</v>
      </c>
      <c r="B28" s="5">
        <f>AVERAGE(B2:B26)</f>
        <v>3.4</v>
      </c>
      <c r="C28" s="5">
        <f t="shared" ref="C28:F28" si="3">AVERAGE(C2:C26)</f>
        <v>3.16</v>
      </c>
      <c r="D28" s="5">
        <f t="shared" si="3"/>
        <v>3.2</v>
      </c>
      <c r="E28" s="5">
        <f t="shared" si="3"/>
        <v>3.44</v>
      </c>
      <c r="F28" s="5">
        <f t="shared" si="3"/>
        <v>3.64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5B7E-30AA-42C1-86D8-0EA990B5B869}">
  <dimension ref="A1:C7"/>
  <sheetViews>
    <sheetView workbookViewId="0">
      <selection activeCell="O14" sqref="O14"/>
    </sheetView>
  </sheetViews>
  <sheetFormatPr defaultRowHeight="15" x14ac:dyDescent="0.25"/>
  <cols>
    <col min="1" max="1" width="17.42578125" bestFit="1" customWidth="1"/>
  </cols>
  <sheetData>
    <row r="1" spans="1:3" x14ac:dyDescent="0.25">
      <c r="A1" s="7" t="s">
        <v>37</v>
      </c>
      <c r="B1" s="7">
        <v>1999</v>
      </c>
      <c r="C1" s="7">
        <v>2000</v>
      </c>
    </row>
    <row r="2" spans="1:3" x14ac:dyDescent="0.25">
      <c r="A2" t="s">
        <v>38</v>
      </c>
      <c r="B2" s="6">
        <v>0.26</v>
      </c>
      <c r="C2" s="6">
        <v>0.27</v>
      </c>
    </row>
    <row r="3" spans="1:3" x14ac:dyDescent="0.25">
      <c r="A3" t="s">
        <v>39</v>
      </c>
      <c r="B3" s="6">
        <v>0.09</v>
      </c>
      <c r="C3" s="6">
        <v>0.09</v>
      </c>
    </row>
    <row r="4" spans="1:3" x14ac:dyDescent="0.25">
      <c r="A4" t="s">
        <v>40</v>
      </c>
      <c r="B4" s="6">
        <v>0.2</v>
      </c>
      <c r="C4" s="6">
        <v>0.21</v>
      </c>
    </row>
    <row r="5" spans="1:3" x14ac:dyDescent="0.25">
      <c r="A5" t="s">
        <v>41</v>
      </c>
      <c r="B5" s="6">
        <v>0.31</v>
      </c>
      <c r="C5" s="6">
        <v>0.3</v>
      </c>
    </row>
    <row r="6" spans="1:3" x14ac:dyDescent="0.25">
      <c r="A6" t="s">
        <v>42</v>
      </c>
      <c r="B6" s="6">
        <v>0.08</v>
      </c>
      <c r="C6" s="6">
        <v>0.09</v>
      </c>
    </row>
    <row r="7" spans="1:3" x14ac:dyDescent="0.25">
      <c r="A7" t="s">
        <v>43</v>
      </c>
      <c r="B7" s="6">
        <v>0.06</v>
      </c>
      <c r="C7" s="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Wykresy</vt:lpstr>
      </vt:variant>
      <vt:variant>
        <vt:i4>1</vt:i4>
      </vt:variant>
    </vt:vector>
  </HeadingPairs>
  <TitlesOfParts>
    <vt:vector size="3" baseType="lpstr">
      <vt:lpstr>Oceny Matematyka</vt:lpstr>
      <vt:lpstr>tabela-do-kolumnowy-2</vt:lpstr>
      <vt:lpstr>kolumnowy-2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Marta  Mucha - Balcerek</cp:lastModifiedBy>
  <dcterms:created xsi:type="dcterms:W3CDTF">2025-01-14T21:56:20Z</dcterms:created>
  <dcterms:modified xsi:type="dcterms:W3CDTF">2026-02-16T10:16:01Z</dcterms:modified>
</cp:coreProperties>
</file>