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aMucha-Balcerek\Desktop\Metody Analizy Danych\mmb\"/>
    </mc:Choice>
  </mc:AlternateContent>
  <xr:revisionPtr revIDLastSave="0" documentId="13_ncr:1_{6349E8ED-BEB5-4D19-A527-7C996A9F8AAD}" xr6:coauthVersionLast="47" xr6:coauthVersionMax="47" xr10:uidLastSave="{00000000-0000-0000-0000-000000000000}"/>
  <bookViews>
    <workbookView xWindow="-120" yWindow="-120" windowWidth="29040" windowHeight="15720" activeTab="1" xr2:uid="{4751F89F-ED89-4C25-BA9A-04622437D9F8}"/>
  </bookViews>
  <sheets>
    <sheet name="Obliczenia" sheetId="1" r:id="rId1"/>
    <sheet name="Boxplot" sheetId="2" r:id="rId2"/>
  </sheets>
  <definedNames>
    <definedName name="_xlchart.v1.0" hidden="1">Boxplot!$B$2:$B$78</definedName>
    <definedName name="_xlchart.v1.1" hidden="1">Boxplot!$C$1</definedName>
    <definedName name="_xlchart.v1.2" hidden="1">Boxplot!$C$2:$C$78</definedName>
    <definedName name="_xlchart.v1.3" hidden="1">Boxplot!$B$2:$B$78</definedName>
    <definedName name="_xlchart.v1.4" hidden="1">Boxplot!$C$1</definedName>
    <definedName name="_xlchart.v1.5" hidden="1">Boxplot!$C$2:$C$78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4" i="1" l="1"/>
  <c r="O22" i="1"/>
  <c r="P22" i="1"/>
  <c r="Q22" i="1"/>
  <c r="R22" i="1"/>
  <c r="S22" i="1"/>
  <c r="T22" i="1"/>
  <c r="N22" i="1"/>
  <c r="O21" i="1"/>
  <c r="P21" i="1"/>
  <c r="Q21" i="1"/>
  <c r="R21" i="1"/>
  <c r="S21" i="1"/>
  <c r="T21" i="1"/>
  <c r="N21" i="1"/>
  <c r="P20" i="1"/>
  <c r="O20" i="1"/>
  <c r="Q20" i="1"/>
  <c r="R20" i="1"/>
  <c r="S20" i="1"/>
  <c r="T20" i="1"/>
  <c r="N20" i="1"/>
  <c r="W15" i="1"/>
  <c r="V15" i="1"/>
  <c r="U15" i="1"/>
  <c r="U14" i="1"/>
  <c r="U13" i="1"/>
  <c r="U12" i="1"/>
  <c r="T13" i="1"/>
  <c r="T14" i="1"/>
  <c r="T15" i="1"/>
  <c r="T12" i="1"/>
  <c r="S15" i="1"/>
  <c r="S14" i="1"/>
  <c r="S13" i="1"/>
  <c r="R15" i="1"/>
  <c r="R14" i="1"/>
  <c r="R13" i="1"/>
  <c r="Q15" i="1"/>
  <c r="Q14" i="1"/>
  <c r="Q13" i="1"/>
  <c r="S12" i="1"/>
  <c r="R12" i="1"/>
  <c r="Q12" i="1"/>
  <c r="P15" i="1"/>
  <c r="P14" i="1"/>
  <c r="P13" i="1"/>
  <c r="P12" i="1"/>
  <c r="O15" i="1"/>
  <c r="O14" i="1"/>
  <c r="O13" i="1"/>
  <c r="O12" i="1"/>
  <c r="N9" i="1"/>
  <c r="N6" i="1"/>
  <c r="U3" i="1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2" i="1"/>
</calcChain>
</file>

<file path=xl/sharedStrings.xml><?xml version="1.0" encoding="utf-8"?>
<sst xmlns="http://schemas.openxmlformats.org/spreadsheetml/2006/main" count="365" uniqueCount="113">
  <si>
    <t>ID ucznia</t>
  </si>
  <si>
    <t>Klasa</t>
  </si>
  <si>
    <t>Wynik</t>
  </si>
  <si>
    <t>Zadanie 1</t>
  </si>
  <si>
    <t>Zadanie 2</t>
  </si>
  <si>
    <t>Zadanie 3</t>
  </si>
  <si>
    <t>Zadanie 4</t>
  </si>
  <si>
    <t>Zadanie 5</t>
  </si>
  <si>
    <t>Zadanie 6</t>
  </si>
  <si>
    <t>Zadanie 7</t>
  </si>
  <si>
    <t>1A</t>
  </si>
  <si>
    <t>1B</t>
  </si>
  <si>
    <t>1D</t>
  </si>
  <si>
    <t>A1</t>
  </si>
  <si>
    <t>B1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</si>
  <si>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</si>
  <si>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</si>
  <si>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</si>
  <si>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</si>
  <si>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</si>
  <si>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</si>
  <si>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</si>
  <si>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</si>
  <si>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</si>
  <si>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</si>
  <si>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</si>
  <si>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</si>
  <si>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</si>
  <si>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</si>
  <si>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</si>
  <si>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</si>
  <si>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</si>
  <si>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</si>
  <si>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</si>
  <si>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</si>
  <si>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</si>
  <si>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</si>
  <si>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</si>
  <si>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</si>
  <si>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</si>
  <si>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</si>
  <si>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</si>
  <si>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</si>
  <si>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</si>
  <si>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</si>
  <si>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</si>
  <si>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</si>
  <si>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</si>
  <si>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</si>
  <si>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</si>
  <si>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</si>
  <si>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</si>
  <si>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</si>
  <si>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</si>
  <si>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</si>
  <si>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</si>
  <si>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</si>
  <si>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</si>
  <si>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</si>
  <si>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</si>
  <si>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</si>
  <si>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</si>
  <si>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</si>
  <si>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</si>
  <si>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</si>
  <si>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</si>
  <si>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</si>
  <si>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</si>
  <si>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</si>
  <si>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</si>
  <si>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</si>
  <si>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</si>
  <si>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</si>
  <si>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</si>
  <si>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</si>
  <si>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</si>
  <si>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</si>
  <si>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</si>
  <si>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</si>
  <si>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</si>
  <si>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</si>
  <si>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</si>
  <si>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</si>
  <si>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</si>
  <si>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</si>
  <si>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</si>
  <si>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</si>
  <si>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</si>
  <si>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</si>
  <si>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</si>
  <si>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Max</t>
  </si>
  <si>
    <t>średnia</t>
  </si>
  <si>
    <t>razem</t>
  </si>
  <si>
    <t>liczba uczniów</t>
  </si>
  <si>
    <t>moda</t>
  </si>
  <si>
    <t>mediana</t>
  </si>
  <si>
    <t>rozstęp</t>
  </si>
  <si>
    <t>łatwość (p)</t>
  </si>
  <si>
    <t>trudność</t>
  </si>
  <si>
    <t>iloczyn</t>
  </si>
  <si>
    <t>rzetelność (KR20)</t>
  </si>
  <si>
    <t>maksymalna liczba punktów</t>
  </si>
  <si>
    <t>maksimum</t>
  </si>
  <si>
    <t>minimum</t>
  </si>
  <si>
    <t>wariancja</t>
  </si>
  <si>
    <t>odchylenie standardowe</t>
  </si>
  <si>
    <t>zad1</t>
  </si>
  <si>
    <t>zad2</t>
  </si>
  <si>
    <t>zad3</t>
  </si>
  <si>
    <t>zad4</t>
  </si>
  <si>
    <t>zad5</t>
  </si>
  <si>
    <t>zad6</t>
  </si>
  <si>
    <t>zad7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</si>
</sst>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/>
    <xf numFmtId="0" fontId="0" fillId="2" borderId="0" xfId="0" applyFill="1"/>
    <xf numFmtId="2" fontId="0" fillId="2" borderId="0" xfId="0" applyNumberFormat="1" applyFill="1"/>
    <xf numFmtId="1" fontId="0" fillId="2" borderId="0" xfId="0" applyNumberForma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Boxplot</a:t>
            </a:r>
            <a:endParaRPr lang="pl-PL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plotSurface>
          <cx:spPr>
            <a:noFill/>
          </cx:spPr>
        </cx:plotSurface>
        <cx:series layoutId="boxWhisker" uniqueId="{B9F452AF-75E3-4555-9863-A78A74A6B80C}">
          <cx:tx>
            <cx:txData>
              <cx:f>_xlchart.v1.1</cx:f>
              <cx:v>Wynik</cx:v>
            </cx:txData>
          </cx:tx>
          <cx:spPr>
            <a:solidFill>
              <a:schemeClr val="accent2"/>
            </a:solidFill>
          </cx:spPr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 panose="020F0502020204030204"/>
                  </a:rPr>
                  <a:t>Klasa</a:t>
                </a:r>
                <a:endParaRPr lang="pl-PL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rich>
          </cx:tx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 panose="020F0502020204030204"/>
                  </a:rPr>
                  <a:t>Wynik</a:t>
                </a:r>
                <a:endParaRPr lang="pl-PL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rich>
          </cx:tx>
        </cx:title>
        <cx:majorGridlines/>
        <cx:tickLabels/>
      </cx:axis>
    </cx:plotArea>
  </cx:chart>
  <cx:spPr>
    <a:solidFill>
      <a:schemeClr val="accent4">
        <a:lumMod val="20000"/>
        <a:lumOff val="80000"/>
      </a:schemeClr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60960</xdr:colOff>
      <xdr:row>17</xdr:row>
      <xdr:rowOff>160021</xdr:rowOff>
    </xdr:from>
    <xdr:to>
      <xdr:col>25</xdr:col>
      <xdr:colOff>426720</xdr:colOff>
      <xdr:row>22</xdr:row>
      <xdr:rowOff>64909</xdr:rowOff>
    </xdr:to>
    <xdr:pic>
      <xdr:nvPicPr>
        <xdr:cNvPr id="2" name="Symbol zastępczy zawartości 3" descr="Obraz zawierający tekst, Czcionka, zrzut ekranu, linia&#10;&#10;Zawartość wygenerowana przez sztuczną inteligencję może być niepoprawna.">
          <a:extLst>
            <a:ext uri="{FF2B5EF4-FFF2-40B4-BE49-F238E27FC236}">
              <a16:creationId xmlns:a16="http://schemas.microsoft.com/office/drawing/2014/main" id="{C675F045-69CD-46F9-C16F-D50DB4ED4E1D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99720" y="3268981"/>
          <a:ext cx="3916680" cy="819288"/>
        </a:xfrm>
        <a:prstGeom prst="rect">
          <a:avLst/>
        </a:prstGeom>
      </xdr:spPr>
    </xdr:pic>
    <xdr:clientData/>
  </xdr:twoCellAnchor>
  <xdr:twoCellAnchor editAs="oneCell">
    <xdr:from>
      <xdr:col>14</xdr:col>
      <xdr:colOff>461225</xdr:colOff>
      <xdr:row>23</xdr:row>
      <xdr:rowOff>15241</xdr:rowOff>
    </xdr:from>
    <xdr:to>
      <xdr:col>18</xdr:col>
      <xdr:colOff>66675</xdr:colOff>
      <xdr:row>32</xdr:row>
      <xdr:rowOff>16889</xdr:rowOff>
    </xdr:to>
    <xdr:pic>
      <xdr:nvPicPr>
        <xdr:cNvPr id="3" name="Symbol zastępczy zawartości 3" descr="Obraz zawierający tekst, Czcionka, zrzut ekranu, linia&#10;&#10;Zawartość wygenerowana przez sztuczną inteligencję może być niepoprawna.">
          <a:extLst>
            <a:ext uri="{FF2B5EF4-FFF2-40B4-BE49-F238E27FC236}">
              <a16:creationId xmlns:a16="http://schemas.microsoft.com/office/drawing/2014/main" id="{122D07A0-D673-9142-A87B-1C9B3C8E0437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36645" y="4221481"/>
          <a:ext cx="2297215" cy="16475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52</xdr:row>
      <xdr:rowOff>71437</xdr:rowOff>
    </xdr:from>
    <xdr:to>
      <xdr:col>18</xdr:col>
      <xdr:colOff>228600</xdr:colOff>
      <xdr:row>66</xdr:row>
      <xdr:rowOff>147637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Wykres 1">
              <a:extLst>
                <a:ext uri="{FF2B5EF4-FFF2-40B4-BE49-F238E27FC236}">
                  <a16:creationId xmlns:a16="http://schemas.microsoft.com/office/drawing/2014/main" id="{F4AF5E97-5DE9-6189-0C64-374D7AD835C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29400" y="99774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1235D-7147-4C9C-8A35-685EF473579A}">
  <dimension ref="A1:W78"/>
  <sheetViews>
    <sheetView workbookViewId="0">
      <selection activeCell="V29" sqref="V29"/>
    </sheetView>
  </sheetViews>
  <sheetFormatPr defaultRowHeight="15" x14ac:dyDescent="0.25"/>
  <cols>
    <col min="13" max="13" width="16.7109375" customWidth="1"/>
    <col min="14" max="14" width="9.5703125" bestFit="1" customWidth="1"/>
    <col min="16" max="16" width="9.7109375" customWidth="1"/>
    <col min="17" max="17" width="9.85546875" bestFit="1" customWidth="1"/>
    <col min="18" max="18" width="11" customWidth="1"/>
    <col min="21" max="21" width="14" customWidth="1"/>
    <col min="25" max="25" width="11.4257812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23" x14ac:dyDescent="0.25">
      <c r="A2" t="s">
        <v>13</v>
      </c>
      <c r="B2" t="s">
        <v>10</v>
      </c>
      <c r="C2">
        <f>SUM(D2:J2)</f>
        <v>13</v>
      </c>
      <c r="D2">
        <v>2</v>
      </c>
      <c r="E2">
        <v>2</v>
      </c>
      <c r="F2">
        <v>1</v>
      </c>
      <c r="G2">
        <v>2</v>
      </c>
      <c r="H2">
        <v>2</v>
      </c>
      <c r="I2">
        <v>3</v>
      </c>
      <c r="J2">
        <v>1</v>
      </c>
      <c r="N2" t="s">
        <v>106</v>
      </c>
      <c r="O2" t="s">
        <v>107</v>
      </c>
      <c r="P2" t="s">
        <v>108</v>
      </c>
      <c r="Q2" t="s">
        <v>109</v>
      </c>
      <c r="R2" t="s">
        <v>110</v>
      </c>
      <c r="S2" t="s">
        <v>111</v>
      </c>
      <c r="T2" t="s">
        <v>112</v>
      </c>
      <c r="U2" t="s">
        <v>101</v>
      </c>
    </row>
    <row r="3" spans="1:23" x14ac:dyDescent="0.25">
      <c r="A3" t="s">
        <v>15</v>
      </c>
      <c r="B3" t="s">
        <v>10</v>
      </c>
      <c r="C3">
        <f t="shared" ref="C3:C66" si="0">SUM(D3:J3)</f>
        <v>12</v>
      </c>
      <c r="D3">
        <v>2</v>
      </c>
      <c r="E3">
        <v>2</v>
      </c>
      <c r="F3">
        <v>0</v>
      </c>
      <c r="G3">
        <v>2</v>
      </c>
      <c r="H3">
        <v>3</v>
      </c>
      <c r="I3">
        <v>0</v>
      </c>
      <c r="J3">
        <v>3</v>
      </c>
      <c r="M3" t="s">
        <v>90</v>
      </c>
      <c r="N3">
        <v>2</v>
      </c>
      <c r="O3">
        <v>2</v>
      </c>
      <c r="P3">
        <v>1</v>
      </c>
      <c r="Q3">
        <v>2</v>
      </c>
      <c r="R3">
        <v>3</v>
      </c>
      <c r="S3">
        <v>3</v>
      </c>
      <c r="T3">
        <v>4</v>
      </c>
      <c r="U3" s="2">
        <f>SUM(N3:T3)</f>
        <v>17</v>
      </c>
    </row>
    <row r="4" spans="1:23" x14ac:dyDescent="0.25">
      <c r="A4" t="s">
        <v>16</v>
      </c>
      <c r="B4" t="s">
        <v>10</v>
      </c>
      <c r="C4">
        <f t="shared" si="0"/>
        <v>8</v>
      </c>
      <c r="D4">
        <v>2</v>
      </c>
      <c r="E4">
        <v>2</v>
      </c>
      <c r="F4">
        <v>1</v>
      </c>
      <c r="G4">
        <v>0</v>
      </c>
      <c r="H4">
        <v>1</v>
      </c>
      <c r="I4">
        <v>0</v>
      </c>
      <c r="J4">
        <v>2</v>
      </c>
    </row>
    <row r="5" spans="1:23" x14ac:dyDescent="0.25">
      <c r="A5" t="s">
        <v>17</v>
      </c>
      <c r="B5" t="s">
        <v>10</v>
      </c>
      <c r="C5">
        <f t="shared" si="0"/>
        <v>7</v>
      </c>
      <c r="D5">
        <v>2</v>
      </c>
      <c r="E5">
        <v>1</v>
      </c>
      <c r="F5">
        <v>1</v>
      </c>
      <c r="G5">
        <v>1</v>
      </c>
      <c r="H5">
        <v>0</v>
      </c>
      <c r="I5">
        <v>0</v>
      </c>
      <c r="J5">
        <v>2</v>
      </c>
      <c r="M5" t="s">
        <v>93</v>
      </c>
    </row>
    <row r="6" spans="1:23" x14ac:dyDescent="0.25">
      <c r="A6" t="s">
        <v>18</v>
      </c>
      <c r="B6" t="s">
        <v>10</v>
      </c>
      <c r="C6">
        <f t="shared" si="0"/>
        <v>8</v>
      </c>
      <c r="D6">
        <v>2</v>
      </c>
      <c r="E6">
        <v>1</v>
      </c>
      <c r="F6">
        <v>1</v>
      </c>
      <c r="G6">
        <v>1</v>
      </c>
      <c r="H6">
        <v>0</v>
      </c>
      <c r="I6">
        <v>1</v>
      </c>
      <c r="J6">
        <v>2</v>
      </c>
      <c r="M6" t="s">
        <v>10</v>
      </c>
      <c r="N6" s="2">
        <f>COUNTA(B2:B23)</f>
        <v>22</v>
      </c>
    </row>
    <row r="7" spans="1:23" x14ac:dyDescent="0.25">
      <c r="A7" t="s">
        <v>19</v>
      </c>
      <c r="B7" t="s">
        <v>10</v>
      </c>
      <c r="C7">
        <f t="shared" si="0"/>
        <v>11</v>
      </c>
      <c r="D7">
        <v>2</v>
      </c>
      <c r="E7">
        <v>1</v>
      </c>
      <c r="F7">
        <v>1</v>
      </c>
      <c r="G7">
        <v>0</v>
      </c>
      <c r="H7">
        <v>3</v>
      </c>
      <c r="I7">
        <v>2</v>
      </c>
      <c r="J7">
        <v>2</v>
      </c>
      <c r="M7" t="s">
        <v>11</v>
      </c>
      <c r="N7" s="2">
        <v>22</v>
      </c>
    </row>
    <row r="8" spans="1:23" x14ac:dyDescent="0.25">
      <c r="A8" t="s">
        <v>20</v>
      </c>
      <c r="B8" t="s">
        <v>10</v>
      </c>
      <c r="C8">
        <f t="shared" si="0"/>
        <v>11</v>
      </c>
      <c r="D8">
        <v>2</v>
      </c>
      <c r="E8">
        <v>2</v>
      </c>
      <c r="F8">
        <v>0</v>
      </c>
      <c r="G8">
        <v>0</v>
      </c>
      <c r="H8">
        <v>3</v>
      </c>
      <c r="I8">
        <v>1</v>
      </c>
      <c r="J8">
        <v>3</v>
      </c>
      <c r="M8" t="s">
        <v>12</v>
      </c>
      <c r="N8" s="2">
        <v>33</v>
      </c>
    </row>
    <row r="9" spans="1:23" x14ac:dyDescent="0.25">
      <c r="A9" t="s">
        <v>21</v>
      </c>
      <c r="B9" t="s">
        <v>10</v>
      </c>
      <c r="C9">
        <f t="shared" si="0"/>
        <v>12</v>
      </c>
      <c r="D9">
        <v>1</v>
      </c>
      <c r="E9">
        <v>1</v>
      </c>
      <c r="F9">
        <v>0</v>
      </c>
      <c r="G9">
        <v>2</v>
      </c>
      <c r="H9">
        <v>3</v>
      </c>
      <c r="I9">
        <v>2</v>
      </c>
      <c r="J9">
        <v>3</v>
      </c>
      <c r="M9" t="s">
        <v>92</v>
      </c>
      <c r="N9" s="2">
        <f>SUM(N6:N8)</f>
        <v>77</v>
      </c>
    </row>
    <row r="10" spans="1:23" x14ac:dyDescent="0.25">
      <c r="A10" t="s">
        <v>22</v>
      </c>
      <c r="B10" t="s">
        <v>10</v>
      </c>
      <c r="C10">
        <f t="shared" si="0"/>
        <v>10</v>
      </c>
      <c r="D10">
        <v>1</v>
      </c>
      <c r="E10">
        <v>0</v>
      </c>
      <c r="F10">
        <v>0</v>
      </c>
      <c r="G10">
        <v>0</v>
      </c>
      <c r="H10">
        <v>3</v>
      </c>
      <c r="I10">
        <v>3</v>
      </c>
      <c r="J10">
        <v>3</v>
      </c>
    </row>
    <row r="11" spans="1:23" x14ac:dyDescent="0.25">
      <c r="A11" t="s">
        <v>23</v>
      </c>
      <c r="B11" t="s">
        <v>10</v>
      </c>
      <c r="C11">
        <f t="shared" si="0"/>
        <v>9</v>
      </c>
      <c r="D11">
        <v>0</v>
      </c>
      <c r="E11">
        <v>1</v>
      </c>
      <c r="F11">
        <v>0</v>
      </c>
      <c r="G11">
        <v>1</v>
      </c>
      <c r="H11">
        <v>3</v>
      </c>
      <c r="I11">
        <v>1</v>
      </c>
      <c r="J11">
        <v>3</v>
      </c>
      <c r="O11" t="s">
        <v>91</v>
      </c>
      <c r="P11" t="s">
        <v>94</v>
      </c>
      <c r="Q11" t="s">
        <v>95</v>
      </c>
      <c r="R11" t="s">
        <v>102</v>
      </c>
      <c r="S11" t="s">
        <v>103</v>
      </c>
      <c r="T11" t="s">
        <v>96</v>
      </c>
      <c r="U11" t="s">
        <v>105</v>
      </c>
      <c r="V11" t="s">
        <v>104</v>
      </c>
    </row>
    <row r="12" spans="1:23" x14ac:dyDescent="0.25">
      <c r="A12" t="s">
        <v>24</v>
      </c>
      <c r="B12" t="s">
        <v>10</v>
      </c>
      <c r="C12">
        <f t="shared" si="0"/>
        <v>9</v>
      </c>
      <c r="D12">
        <v>0</v>
      </c>
      <c r="E12">
        <v>0</v>
      </c>
      <c r="F12">
        <v>1</v>
      </c>
      <c r="G12">
        <v>2</v>
      </c>
      <c r="H12">
        <v>2</v>
      </c>
      <c r="I12">
        <v>2</v>
      </c>
      <c r="J12">
        <v>2</v>
      </c>
      <c r="N12" t="s">
        <v>10</v>
      </c>
      <c r="O12" s="3">
        <f>AVERAGE(C2:C23)</f>
        <v>9.2727272727272734</v>
      </c>
      <c r="P12" s="2">
        <f>_xlfn.MODE.SNGL(C2:C23)</f>
        <v>8</v>
      </c>
      <c r="Q12" s="2">
        <f>MEDIAN(C2:C23)</f>
        <v>9</v>
      </c>
      <c r="R12" s="2">
        <f>MAX(C2:C23)</f>
        <v>13</v>
      </c>
      <c r="S12" s="2">
        <f>MIN(C2:C23)</f>
        <v>7</v>
      </c>
      <c r="T12" s="2">
        <f>R12-S12</f>
        <v>6</v>
      </c>
      <c r="U12" s="3">
        <f>_xlfn.STDEV.S(C2:C23)</f>
        <v>1.8817878576304865</v>
      </c>
    </row>
    <row r="13" spans="1:23" x14ac:dyDescent="0.25">
      <c r="A13" t="s">
        <v>25</v>
      </c>
      <c r="B13" t="s">
        <v>10</v>
      </c>
      <c r="C13">
        <f t="shared" si="0"/>
        <v>12</v>
      </c>
      <c r="D13">
        <v>1</v>
      </c>
      <c r="E13">
        <v>2</v>
      </c>
      <c r="F13">
        <v>1</v>
      </c>
      <c r="G13">
        <v>1</v>
      </c>
      <c r="H13">
        <v>3</v>
      </c>
      <c r="I13">
        <v>2</v>
      </c>
      <c r="J13">
        <v>2</v>
      </c>
      <c r="N13" t="s">
        <v>11</v>
      </c>
      <c r="O13" s="3">
        <f>AVERAGE(C24:C45)</f>
        <v>9.3636363636363633</v>
      </c>
      <c r="P13" s="2">
        <f>_xlfn.MODE.SNGL(C24:C45)</f>
        <v>9</v>
      </c>
      <c r="Q13" s="2">
        <f>MEDIAN(C24:C45)</f>
        <v>9</v>
      </c>
      <c r="R13" s="2">
        <f>MAX(C24:C45)</f>
        <v>17</v>
      </c>
      <c r="S13" s="2">
        <f>MIN(C24:C45)</f>
        <v>4</v>
      </c>
      <c r="T13" s="2">
        <f t="shared" ref="T13:T15" si="1">R13-S13</f>
        <v>13</v>
      </c>
      <c r="U13" s="3">
        <f>_xlfn.STDEV.S(C24:C45)</f>
        <v>2.5550222167602623</v>
      </c>
    </row>
    <row r="14" spans="1:23" x14ac:dyDescent="0.25">
      <c r="A14" t="s">
        <v>26</v>
      </c>
      <c r="B14" t="s">
        <v>10</v>
      </c>
      <c r="C14">
        <f t="shared" si="0"/>
        <v>8</v>
      </c>
      <c r="D14">
        <v>1</v>
      </c>
      <c r="E14">
        <v>2</v>
      </c>
      <c r="F14">
        <v>1</v>
      </c>
      <c r="G14">
        <v>1</v>
      </c>
      <c r="H14">
        <v>0</v>
      </c>
      <c r="I14">
        <v>2</v>
      </c>
      <c r="J14">
        <v>1</v>
      </c>
      <c r="N14" t="s">
        <v>12</v>
      </c>
      <c r="O14" s="3">
        <f>AVERAGE(C46:C78)</f>
        <v>9.545454545454545</v>
      </c>
      <c r="P14" s="2">
        <f>_xlfn.MODE.SNGL(C46:C78)</f>
        <v>12</v>
      </c>
      <c r="Q14" s="2">
        <f>MEDIAN(C46:C78)</f>
        <v>9</v>
      </c>
      <c r="R14" s="2">
        <f>MAX(C46:C78)</f>
        <v>17</v>
      </c>
      <c r="S14" s="2">
        <f>MIN(C46:C78)</f>
        <v>5</v>
      </c>
      <c r="T14" s="2">
        <f t="shared" si="1"/>
        <v>12</v>
      </c>
      <c r="U14" s="3">
        <f>_xlfn.STDEV.S(C46:C78)</f>
        <v>2.7623688780070292</v>
      </c>
    </row>
    <row r="15" spans="1:23" x14ac:dyDescent="0.25">
      <c r="A15" t="s">
        <v>27</v>
      </c>
      <c r="B15" t="s">
        <v>10</v>
      </c>
      <c r="C15">
        <f t="shared" si="0"/>
        <v>7</v>
      </c>
      <c r="D15">
        <v>0</v>
      </c>
      <c r="E15">
        <v>2</v>
      </c>
      <c r="F15">
        <v>0</v>
      </c>
      <c r="G15">
        <v>2</v>
      </c>
      <c r="H15">
        <v>1</v>
      </c>
      <c r="I15">
        <v>1</v>
      </c>
      <c r="J15">
        <v>1</v>
      </c>
      <c r="N15" t="s">
        <v>92</v>
      </c>
      <c r="O15" s="3">
        <f>AVERAGE(C2:C78)</f>
        <v>9.4155844155844157</v>
      </c>
      <c r="P15" s="4">
        <f>_xlfn.MODE.SNGL(C2:C78)</f>
        <v>9</v>
      </c>
      <c r="Q15" s="2">
        <f>MEDIAN(C2:C78)</f>
        <v>9</v>
      </c>
      <c r="R15" s="2">
        <f>MAX(C2:C78)</f>
        <v>17</v>
      </c>
      <c r="S15" s="2">
        <f>MIN(C2:C78)</f>
        <v>4</v>
      </c>
      <c r="T15" s="2">
        <f t="shared" si="1"/>
        <v>13</v>
      </c>
      <c r="U15" s="3">
        <f>_xlfn.STDEV.S(C2:C78)</f>
        <v>2.4513725980541539</v>
      </c>
      <c r="V15" s="3">
        <f>U15^2</f>
        <v>6.0092276144907721</v>
      </c>
      <c r="W15">
        <f>_xlfn.VAR.S(C2:C78)</f>
        <v>6.0092276144907713</v>
      </c>
    </row>
    <row r="16" spans="1:23" x14ac:dyDescent="0.25">
      <c r="A16" t="s">
        <v>28</v>
      </c>
      <c r="B16" t="s">
        <v>10</v>
      </c>
      <c r="C16">
        <f t="shared" si="0"/>
        <v>10</v>
      </c>
      <c r="D16">
        <v>1</v>
      </c>
      <c r="E16">
        <v>2</v>
      </c>
      <c r="F16">
        <v>1</v>
      </c>
      <c r="G16">
        <v>1</v>
      </c>
      <c r="H16">
        <v>2</v>
      </c>
      <c r="I16">
        <v>2</v>
      </c>
      <c r="J16">
        <v>1</v>
      </c>
    </row>
    <row r="17" spans="1:20" x14ac:dyDescent="0.25">
      <c r="A17" t="s">
        <v>29</v>
      </c>
      <c r="B17" t="s">
        <v>10</v>
      </c>
      <c r="C17">
        <f t="shared" si="0"/>
        <v>8</v>
      </c>
      <c r="D17">
        <v>2</v>
      </c>
      <c r="E17">
        <v>0</v>
      </c>
      <c r="F17">
        <v>1</v>
      </c>
      <c r="G17">
        <v>1</v>
      </c>
      <c r="H17">
        <v>2</v>
      </c>
      <c r="I17">
        <v>1</v>
      </c>
      <c r="J17">
        <v>1</v>
      </c>
    </row>
    <row r="18" spans="1:20" x14ac:dyDescent="0.25">
      <c r="A18" t="s">
        <v>30</v>
      </c>
      <c r="B18" t="s">
        <v>10</v>
      </c>
      <c r="C18">
        <f t="shared" si="0"/>
        <v>10</v>
      </c>
      <c r="D18">
        <v>2</v>
      </c>
      <c r="E18">
        <v>0</v>
      </c>
      <c r="F18">
        <v>0</v>
      </c>
      <c r="G18">
        <v>2</v>
      </c>
      <c r="H18">
        <v>3</v>
      </c>
      <c r="I18">
        <v>3</v>
      </c>
      <c r="J18">
        <v>0</v>
      </c>
    </row>
    <row r="19" spans="1:20" x14ac:dyDescent="0.25">
      <c r="A19" t="s">
        <v>31</v>
      </c>
      <c r="B19" t="s">
        <v>10</v>
      </c>
      <c r="C19">
        <f t="shared" si="0"/>
        <v>7</v>
      </c>
      <c r="D19">
        <v>1</v>
      </c>
      <c r="E19">
        <v>0</v>
      </c>
      <c r="F19">
        <v>1</v>
      </c>
      <c r="G19">
        <v>1</v>
      </c>
      <c r="H19">
        <v>1</v>
      </c>
      <c r="I19">
        <v>3</v>
      </c>
      <c r="J19">
        <v>0</v>
      </c>
      <c r="N19" s="1" t="s">
        <v>3</v>
      </c>
      <c r="O19" s="1" t="s">
        <v>4</v>
      </c>
      <c r="P19" s="1" t="s">
        <v>5</v>
      </c>
      <c r="Q19" s="1" t="s">
        <v>6</v>
      </c>
      <c r="R19" s="1" t="s">
        <v>7</v>
      </c>
      <c r="S19" s="1" t="s">
        <v>8</v>
      </c>
      <c r="T19" s="1" t="s">
        <v>9</v>
      </c>
    </row>
    <row r="20" spans="1:20" x14ac:dyDescent="0.25">
      <c r="A20" t="s">
        <v>32</v>
      </c>
      <c r="B20" t="s">
        <v>10</v>
      </c>
      <c r="C20">
        <f t="shared" si="0"/>
        <v>9</v>
      </c>
      <c r="D20">
        <v>2</v>
      </c>
      <c r="E20">
        <v>0</v>
      </c>
      <c r="F20">
        <v>1</v>
      </c>
      <c r="G20">
        <v>0</v>
      </c>
      <c r="H20">
        <v>2</v>
      </c>
      <c r="I20">
        <v>2</v>
      </c>
      <c r="J20">
        <v>2</v>
      </c>
      <c r="M20" t="s">
        <v>97</v>
      </c>
      <c r="N20" s="3">
        <f>SUM(D2:D78)/(N3*$N$9)</f>
        <v>0.5</v>
      </c>
      <c r="O20" s="3">
        <f>SUM(E2:E78)/(O3*$N$9)</f>
        <v>0.53246753246753242</v>
      </c>
      <c r="P20" s="3">
        <f>SUM(F2:F78)/(P3*$N$9)</f>
        <v>0.72727272727272729</v>
      </c>
      <c r="Q20" s="3">
        <f t="shared" ref="Q20:T20" si="2">SUM(G2:G78)/(Q3*$N$9)</f>
        <v>0.60389610389610393</v>
      </c>
      <c r="R20" s="3">
        <f t="shared" si="2"/>
        <v>0.55844155844155841</v>
      </c>
      <c r="S20" s="3">
        <f t="shared" si="2"/>
        <v>0.63203463203463206</v>
      </c>
      <c r="T20" s="3">
        <f t="shared" si="2"/>
        <v>0.46103896103896103</v>
      </c>
    </row>
    <row r="21" spans="1:20" x14ac:dyDescent="0.25">
      <c r="A21" t="s">
        <v>33</v>
      </c>
      <c r="B21" t="s">
        <v>10</v>
      </c>
      <c r="C21">
        <f t="shared" si="0"/>
        <v>8</v>
      </c>
      <c r="D21">
        <v>0</v>
      </c>
      <c r="E21">
        <v>0</v>
      </c>
      <c r="F21">
        <v>1</v>
      </c>
      <c r="G21">
        <v>1</v>
      </c>
      <c r="H21">
        <v>0</v>
      </c>
      <c r="I21">
        <v>3</v>
      </c>
      <c r="J21">
        <v>3</v>
      </c>
      <c r="M21" t="s">
        <v>98</v>
      </c>
      <c r="N21" s="3">
        <f>1-N20</f>
        <v>0.5</v>
      </c>
      <c r="O21" s="3">
        <f t="shared" ref="O21:T21" si="3">1-O20</f>
        <v>0.46753246753246758</v>
      </c>
      <c r="P21" s="3">
        <f t="shared" si="3"/>
        <v>0.27272727272727271</v>
      </c>
      <c r="Q21" s="3">
        <f t="shared" si="3"/>
        <v>0.39610389610389607</v>
      </c>
      <c r="R21" s="3">
        <f t="shared" si="3"/>
        <v>0.44155844155844159</v>
      </c>
      <c r="S21" s="3">
        <f t="shared" si="3"/>
        <v>0.36796536796536794</v>
      </c>
      <c r="T21" s="3">
        <f t="shared" si="3"/>
        <v>0.53896103896103897</v>
      </c>
    </row>
    <row r="22" spans="1:20" x14ac:dyDescent="0.25">
      <c r="A22" t="s">
        <v>34</v>
      </c>
      <c r="B22" t="s">
        <v>10</v>
      </c>
      <c r="C22">
        <f t="shared" si="0"/>
        <v>8</v>
      </c>
      <c r="D22">
        <v>0</v>
      </c>
      <c r="E22">
        <v>0</v>
      </c>
      <c r="F22">
        <v>1</v>
      </c>
      <c r="G22">
        <v>1</v>
      </c>
      <c r="H22">
        <v>2</v>
      </c>
      <c r="I22">
        <v>2</v>
      </c>
      <c r="J22">
        <v>2</v>
      </c>
      <c r="M22" t="s">
        <v>99</v>
      </c>
      <c r="N22" s="3">
        <f>N20*N21</f>
        <v>0.25</v>
      </c>
      <c r="O22" s="3">
        <f t="shared" ref="O22:T22" si="4">O20*O21</f>
        <v>0.24894585933546973</v>
      </c>
      <c r="P22" s="3">
        <f t="shared" si="4"/>
        <v>0.19834710743801651</v>
      </c>
      <c r="Q22" s="3">
        <f t="shared" si="4"/>
        <v>0.23920559959520998</v>
      </c>
      <c r="R22" s="3">
        <f t="shared" si="4"/>
        <v>0.24658458424692192</v>
      </c>
      <c r="S22" s="3">
        <f t="shared" si="4"/>
        <v>0.23256685594347931</v>
      </c>
      <c r="T22" s="3">
        <f t="shared" si="4"/>
        <v>0.2484820374430764</v>
      </c>
    </row>
    <row r="23" spans="1:20" x14ac:dyDescent="0.25">
      <c r="A23" t="s">
        <v>35</v>
      </c>
      <c r="B23" t="s">
        <v>10</v>
      </c>
      <c r="C23">
        <f t="shared" si="0"/>
        <v>7</v>
      </c>
      <c r="D23">
        <v>0</v>
      </c>
      <c r="E23">
        <v>0</v>
      </c>
      <c r="F23">
        <v>1</v>
      </c>
      <c r="G23">
        <v>1</v>
      </c>
      <c r="H23">
        <v>1</v>
      </c>
      <c r="I23">
        <v>1</v>
      </c>
      <c r="J23">
        <v>3</v>
      </c>
    </row>
    <row r="24" spans="1:20" x14ac:dyDescent="0.25">
      <c r="A24" t="s">
        <v>14</v>
      </c>
      <c r="B24" t="s">
        <v>11</v>
      </c>
      <c r="C24">
        <f t="shared" si="0"/>
        <v>9</v>
      </c>
      <c r="D24">
        <v>2</v>
      </c>
      <c r="E24">
        <v>1</v>
      </c>
      <c r="F24">
        <v>1</v>
      </c>
      <c r="G24">
        <v>2</v>
      </c>
      <c r="H24">
        <v>1</v>
      </c>
      <c r="I24">
        <v>2</v>
      </c>
      <c r="J24">
        <v>0</v>
      </c>
      <c r="M24" t="s">
        <v>100</v>
      </c>
      <c r="N24" s="3">
        <f>(7/6)*(1-(SUM(N22:T22)/$V$15))</f>
        <v>0.84358231885673163</v>
      </c>
    </row>
    <row r="25" spans="1:20" x14ac:dyDescent="0.25">
      <c r="A25" t="s">
        <v>36</v>
      </c>
      <c r="B25" t="s">
        <v>11</v>
      </c>
      <c r="C25">
        <f t="shared" si="0"/>
        <v>8</v>
      </c>
      <c r="D25">
        <v>2</v>
      </c>
      <c r="E25">
        <v>1</v>
      </c>
      <c r="F25">
        <v>1</v>
      </c>
      <c r="G25">
        <v>2</v>
      </c>
      <c r="H25">
        <v>0</v>
      </c>
      <c r="I25">
        <v>2</v>
      </c>
      <c r="J25">
        <v>0</v>
      </c>
    </row>
    <row r="26" spans="1:20" x14ac:dyDescent="0.25">
      <c r="A26" t="s">
        <v>37</v>
      </c>
      <c r="B26" t="s">
        <v>11</v>
      </c>
      <c r="C26">
        <f t="shared" si="0"/>
        <v>7</v>
      </c>
      <c r="D26">
        <v>1</v>
      </c>
      <c r="E26">
        <v>1</v>
      </c>
      <c r="F26">
        <v>1</v>
      </c>
      <c r="G26">
        <v>1</v>
      </c>
      <c r="H26">
        <v>3</v>
      </c>
      <c r="I26">
        <v>0</v>
      </c>
      <c r="J26">
        <v>0</v>
      </c>
    </row>
    <row r="27" spans="1:20" x14ac:dyDescent="0.25">
      <c r="A27" t="s">
        <v>38</v>
      </c>
      <c r="B27" t="s">
        <v>11</v>
      </c>
      <c r="C27">
        <f t="shared" si="0"/>
        <v>8</v>
      </c>
      <c r="D27">
        <v>1</v>
      </c>
      <c r="E27">
        <v>1</v>
      </c>
      <c r="F27">
        <v>1</v>
      </c>
      <c r="G27">
        <v>1</v>
      </c>
      <c r="H27">
        <v>1</v>
      </c>
      <c r="I27">
        <v>3</v>
      </c>
      <c r="J27">
        <v>0</v>
      </c>
    </row>
    <row r="28" spans="1:20" x14ac:dyDescent="0.25">
      <c r="A28" t="s">
        <v>39</v>
      </c>
      <c r="B28" t="s">
        <v>11</v>
      </c>
      <c r="C28">
        <f t="shared" si="0"/>
        <v>8</v>
      </c>
      <c r="D28">
        <v>1</v>
      </c>
      <c r="E28">
        <v>1</v>
      </c>
      <c r="F28">
        <v>1</v>
      </c>
      <c r="G28">
        <v>1</v>
      </c>
      <c r="H28">
        <v>3</v>
      </c>
      <c r="I28">
        <v>1</v>
      </c>
      <c r="J28">
        <v>0</v>
      </c>
    </row>
    <row r="29" spans="1:20" x14ac:dyDescent="0.25">
      <c r="A29" t="s">
        <v>40</v>
      </c>
      <c r="B29" t="s">
        <v>11</v>
      </c>
      <c r="C29">
        <f t="shared" si="0"/>
        <v>7</v>
      </c>
      <c r="D29">
        <v>0</v>
      </c>
      <c r="E29">
        <v>0</v>
      </c>
      <c r="F29">
        <v>1</v>
      </c>
      <c r="G29">
        <v>2</v>
      </c>
      <c r="H29">
        <v>1</v>
      </c>
      <c r="I29">
        <v>2</v>
      </c>
      <c r="J29">
        <v>1</v>
      </c>
    </row>
    <row r="30" spans="1:20" x14ac:dyDescent="0.25">
      <c r="A30" t="s">
        <v>41</v>
      </c>
      <c r="B30" t="s">
        <v>11</v>
      </c>
      <c r="C30">
        <f t="shared" si="0"/>
        <v>9</v>
      </c>
      <c r="D30">
        <v>0</v>
      </c>
      <c r="E30">
        <v>0</v>
      </c>
      <c r="F30">
        <v>1</v>
      </c>
      <c r="G30">
        <v>2</v>
      </c>
      <c r="H30">
        <v>2</v>
      </c>
      <c r="I30">
        <v>2</v>
      </c>
      <c r="J30">
        <v>2</v>
      </c>
    </row>
    <row r="31" spans="1:20" x14ac:dyDescent="0.25">
      <c r="A31" t="s">
        <v>42</v>
      </c>
      <c r="B31" t="s">
        <v>11</v>
      </c>
      <c r="C31">
        <f t="shared" si="0"/>
        <v>7</v>
      </c>
      <c r="D31">
        <v>0</v>
      </c>
      <c r="E31">
        <v>0</v>
      </c>
      <c r="F31">
        <v>0</v>
      </c>
      <c r="G31">
        <v>2</v>
      </c>
      <c r="H31">
        <v>1</v>
      </c>
      <c r="I31">
        <v>2</v>
      </c>
      <c r="J31">
        <v>2</v>
      </c>
    </row>
    <row r="32" spans="1:20" x14ac:dyDescent="0.25">
      <c r="A32" t="s">
        <v>43</v>
      </c>
      <c r="B32" t="s">
        <v>11</v>
      </c>
      <c r="C32">
        <f t="shared" si="0"/>
        <v>9</v>
      </c>
      <c r="D32">
        <v>0</v>
      </c>
      <c r="E32">
        <v>1</v>
      </c>
      <c r="F32">
        <v>0</v>
      </c>
      <c r="G32">
        <v>1</v>
      </c>
      <c r="H32">
        <v>3</v>
      </c>
      <c r="I32">
        <v>3</v>
      </c>
      <c r="J32">
        <v>1</v>
      </c>
    </row>
    <row r="33" spans="1:10" x14ac:dyDescent="0.25">
      <c r="A33" t="s">
        <v>44</v>
      </c>
      <c r="B33" t="s">
        <v>11</v>
      </c>
      <c r="C33">
        <f t="shared" si="0"/>
        <v>9</v>
      </c>
      <c r="D33">
        <v>0</v>
      </c>
      <c r="E33">
        <v>1</v>
      </c>
      <c r="F33">
        <v>1</v>
      </c>
      <c r="G33">
        <v>1</v>
      </c>
      <c r="H33">
        <v>3</v>
      </c>
      <c r="I33">
        <v>1</v>
      </c>
      <c r="J33">
        <v>2</v>
      </c>
    </row>
    <row r="34" spans="1:10" x14ac:dyDescent="0.25">
      <c r="A34" t="s">
        <v>45</v>
      </c>
      <c r="B34" t="s">
        <v>11</v>
      </c>
      <c r="C34">
        <f t="shared" si="0"/>
        <v>9</v>
      </c>
      <c r="D34">
        <v>0</v>
      </c>
      <c r="E34">
        <v>1</v>
      </c>
      <c r="F34">
        <v>1</v>
      </c>
      <c r="G34">
        <v>0</v>
      </c>
      <c r="H34">
        <v>0</v>
      </c>
      <c r="I34">
        <v>3</v>
      </c>
      <c r="J34">
        <v>4</v>
      </c>
    </row>
    <row r="35" spans="1:10" x14ac:dyDescent="0.25">
      <c r="A35" t="s">
        <v>46</v>
      </c>
      <c r="B35" t="s">
        <v>11</v>
      </c>
      <c r="C35">
        <f t="shared" si="0"/>
        <v>11</v>
      </c>
      <c r="D35">
        <v>0</v>
      </c>
      <c r="E35">
        <v>1</v>
      </c>
      <c r="F35">
        <v>1</v>
      </c>
      <c r="G35">
        <v>2</v>
      </c>
      <c r="H35">
        <v>2</v>
      </c>
      <c r="I35">
        <v>3</v>
      </c>
      <c r="J35">
        <v>2</v>
      </c>
    </row>
    <row r="36" spans="1:10" x14ac:dyDescent="0.25">
      <c r="A36" t="s">
        <v>47</v>
      </c>
      <c r="B36" t="s">
        <v>11</v>
      </c>
      <c r="C36">
        <f t="shared" si="0"/>
        <v>11</v>
      </c>
      <c r="D36">
        <v>0</v>
      </c>
      <c r="E36">
        <v>2</v>
      </c>
      <c r="F36">
        <v>1</v>
      </c>
      <c r="G36">
        <v>2</v>
      </c>
      <c r="H36">
        <v>3</v>
      </c>
      <c r="I36">
        <v>1</v>
      </c>
      <c r="J36">
        <v>2</v>
      </c>
    </row>
    <row r="37" spans="1:10" x14ac:dyDescent="0.25">
      <c r="A37" t="s">
        <v>48</v>
      </c>
      <c r="B37" t="s">
        <v>11</v>
      </c>
      <c r="C37">
        <f t="shared" si="0"/>
        <v>9</v>
      </c>
      <c r="D37">
        <v>0</v>
      </c>
      <c r="E37">
        <v>2</v>
      </c>
      <c r="F37">
        <v>1</v>
      </c>
      <c r="G37">
        <v>2</v>
      </c>
      <c r="H37">
        <v>2</v>
      </c>
      <c r="I37">
        <v>1</v>
      </c>
      <c r="J37">
        <v>1</v>
      </c>
    </row>
    <row r="38" spans="1:10" x14ac:dyDescent="0.25">
      <c r="A38" t="s">
        <v>49</v>
      </c>
      <c r="B38" t="s">
        <v>11</v>
      </c>
      <c r="C38">
        <f t="shared" si="0"/>
        <v>9</v>
      </c>
      <c r="D38">
        <v>0</v>
      </c>
      <c r="E38">
        <v>0</v>
      </c>
      <c r="F38">
        <v>1</v>
      </c>
      <c r="G38">
        <v>2</v>
      </c>
      <c r="H38">
        <v>3</v>
      </c>
      <c r="I38">
        <v>2</v>
      </c>
      <c r="J38">
        <v>1</v>
      </c>
    </row>
    <row r="39" spans="1:10" x14ac:dyDescent="0.25">
      <c r="A39" t="s">
        <v>50</v>
      </c>
      <c r="B39" t="s">
        <v>11</v>
      </c>
      <c r="C39">
        <f t="shared" si="0"/>
        <v>10</v>
      </c>
      <c r="D39">
        <v>1</v>
      </c>
      <c r="E39">
        <v>2</v>
      </c>
      <c r="F39">
        <v>1</v>
      </c>
      <c r="G39">
        <v>1</v>
      </c>
      <c r="H39">
        <v>0</v>
      </c>
      <c r="I39">
        <v>2</v>
      </c>
      <c r="J39">
        <v>3</v>
      </c>
    </row>
    <row r="40" spans="1:10" x14ac:dyDescent="0.25">
      <c r="A40" t="s">
        <v>51</v>
      </c>
      <c r="B40" t="s">
        <v>11</v>
      </c>
      <c r="C40">
        <f t="shared" si="0"/>
        <v>10</v>
      </c>
      <c r="D40">
        <v>1</v>
      </c>
      <c r="E40">
        <v>2</v>
      </c>
      <c r="F40">
        <v>0</v>
      </c>
      <c r="G40">
        <v>2</v>
      </c>
      <c r="H40">
        <v>1</v>
      </c>
      <c r="I40">
        <v>1</v>
      </c>
      <c r="J40">
        <v>3</v>
      </c>
    </row>
    <row r="41" spans="1:10" x14ac:dyDescent="0.25">
      <c r="A41" t="s">
        <v>52</v>
      </c>
      <c r="B41" t="s">
        <v>11</v>
      </c>
      <c r="C41">
        <f t="shared" si="0"/>
        <v>12</v>
      </c>
      <c r="D41">
        <v>2</v>
      </c>
      <c r="E41">
        <v>1</v>
      </c>
      <c r="F41">
        <v>0</v>
      </c>
      <c r="G41">
        <v>2</v>
      </c>
      <c r="H41">
        <v>3</v>
      </c>
      <c r="I41">
        <v>1</v>
      </c>
      <c r="J41">
        <v>3</v>
      </c>
    </row>
    <row r="42" spans="1:10" x14ac:dyDescent="0.25">
      <c r="A42" t="s">
        <v>53</v>
      </c>
      <c r="B42" t="s">
        <v>11</v>
      </c>
      <c r="C42">
        <f t="shared" si="0"/>
        <v>10</v>
      </c>
      <c r="D42">
        <v>2</v>
      </c>
      <c r="E42">
        <v>1</v>
      </c>
      <c r="F42">
        <v>0</v>
      </c>
      <c r="G42">
        <v>1</v>
      </c>
      <c r="H42">
        <v>0</v>
      </c>
      <c r="I42">
        <v>3</v>
      </c>
      <c r="J42">
        <v>3</v>
      </c>
    </row>
    <row r="43" spans="1:10" x14ac:dyDescent="0.25">
      <c r="A43" t="s">
        <v>54</v>
      </c>
      <c r="B43" t="s">
        <v>11</v>
      </c>
      <c r="C43">
        <f t="shared" si="0"/>
        <v>13</v>
      </c>
      <c r="D43">
        <v>2</v>
      </c>
      <c r="E43">
        <v>2</v>
      </c>
      <c r="F43">
        <v>0</v>
      </c>
      <c r="G43">
        <v>0</v>
      </c>
      <c r="H43">
        <v>2</v>
      </c>
      <c r="I43">
        <v>3</v>
      </c>
      <c r="J43">
        <v>4</v>
      </c>
    </row>
    <row r="44" spans="1:10" x14ac:dyDescent="0.25">
      <c r="A44" t="s">
        <v>55</v>
      </c>
      <c r="B44" t="s">
        <v>11</v>
      </c>
      <c r="C44">
        <f t="shared" si="0"/>
        <v>17</v>
      </c>
      <c r="D44">
        <v>2</v>
      </c>
      <c r="E44">
        <v>2</v>
      </c>
      <c r="F44">
        <v>1</v>
      </c>
      <c r="G44">
        <v>2</v>
      </c>
      <c r="H44">
        <v>3</v>
      </c>
      <c r="I44">
        <v>3</v>
      </c>
      <c r="J44">
        <v>4</v>
      </c>
    </row>
    <row r="45" spans="1:10" x14ac:dyDescent="0.25">
      <c r="A45" t="s">
        <v>56</v>
      </c>
      <c r="B45" t="s">
        <v>11</v>
      </c>
      <c r="C45">
        <f t="shared" si="0"/>
        <v>4</v>
      </c>
      <c r="D45">
        <v>1</v>
      </c>
      <c r="E45">
        <v>1</v>
      </c>
      <c r="F45">
        <v>1</v>
      </c>
      <c r="G45">
        <v>1</v>
      </c>
      <c r="H45">
        <v>0</v>
      </c>
      <c r="I45">
        <v>0</v>
      </c>
      <c r="J45">
        <v>0</v>
      </c>
    </row>
    <row r="46" spans="1:10" x14ac:dyDescent="0.25">
      <c r="A46" t="s">
        <v>57</v>
      </c>
      <c r="B46" t="s">
        <v>12</v>
      </c>
      <c r="C46">
        <f t="shared" si="0"/>
        <v>10</v>
      </c>
      <c r="D46">
        <v>0</v>
      </c>
      <c r="E46">
        <v>0</v>
      </c>
      <c r="F46">
        <v>1</v>
      </c>
      <c r="G46">
        <v>0</v>
      </c>
      <c r="H46">
        <v>3</v>
      </c>
      <c r="I46">
        <v>2</v>
      </c>
      <c r="J46">
        <v>4</v>
      </c>
    </row>
    <row r="47" spans="1:10" x14ac:dyDescent="0.25">
      <c r="A47" t="s">
        <v>58</v>
      </c>
      <c r="B47" t="s">
        <v>12</v>
      </c>
      <c r="C47">
        <f t="shared" si="0"/>
        <v>6</v>
      </c>
      <c r="D47">
        <v>0</v>
      </c>
      <c r="E47">
        <v>0</v>
      </c>
      <c r="F47">
        <v>1</v>
      </c>
      <c r="G47">
        <v>0</v>
      </c>
      <c r="H47">
        <v>3</v>
      </c>
      <c r="I47">
        <v>2</v>
      </c>
      <c r="J47">
        <v>0</v>
      </c>
    </row>
    <row r="48" spans="1:10" x14ac:dyDescent="0.25">
      <c r="A48" t="s">
        <v>59</v>
      </c>
      <c r="B48" t="s">
        <v>12</v>
      </c>
      <c r="C48">
        <f t="shared" si="0"/>
        <v>11</v>
      </c>
      <c r="D48">
        <v>1</v>
      </c>
      <c r="E48">
        <v>1</v>
      </c>
      <c r="F48">
        <v>1</v>
      </c>
      <c r="G48">
        <v>1</v>
      </c>
      <c r="H48">
        <v>0</v>
      </c>
      <c r="I48">
        <v>3</v>
      </c>
      <c r="J48">
        <v>4</v>
      </c>
    </row>
    <row r="49" spans="1:10" x14ac:dyDescent="0.25">
      <c r="A49" t="s">
        <v>60</v>
      </c>
      <c r="B49" t="s">
        <v>12</v>
      </c>
      <c r="C49">
        <f t="shared" si="0"/>
        <v>8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2</v>
      </c>
    </row>
    <row r="50" spans="1:10" x14ac:dyDescent="0.25">
      <c r="A50" t="s">
        <v>61</v>
      </c>
      <c r="B50" t="s">
        <v>12</v>
      </c>
      <c r="C50">
        <f t="shared" si="0"/>
        <v>12</v>
      </c>
      <c r="D50">
        <v>2</v>
      </c>
      <c r="E50">
        <v>2</v>
      </c>
      <c r="F50">
        <v>1</v>
      </c>
      <c r="G50">
        <v>1</v>
      </c>
      <c r="H50">
        <v>2</v>
      </c>
      <c r="I50">
        <v>2</v>
      </c>
      <c r="J50">
        <v>2</v>
      </c>
    </row>
    <row r="51" spans="1:10" x14ac:dyDescent="0.25">
      <c r="A51" t="s">
        <v>62</v>
      </c>
      <c r="B51" t="s">
        <v>12</v>
      </c>
      <c r="C51">
        <f t="shared" si="0"/>
        <v>12</v>
      </c>
      <c r="D51">
        <v>2</v>
      </c>
      <c r="E51">
        <v>2</v>
      </c>
      <c r="F51">
        <v>1</v>
      </c>
      <c r="G51">
        <v>2</v>
      </c>
      <c r="H51">
        <v>0</v>
      </c>
      <c r="I51">
        <v>2</v>
      </c>
      <c r="J51">
        <v>3</v>
      </c>
    </row>
    <row r="52" spans="1:10" x14ac:dyDescent="0.25">
      <c r="A52" t="s">
        <v>63</v>
      </c>
      <c r="B52" t="s">
        <v>12</v>
      </c>
      <c r="C52">
        <f t="shared" si="0"/>
        <v>9</v>
      </c>
      <c r="D52">
        <v>1</v>
      </c>
      <c r="E52">
        <v>1</v>
      </c>
      <c r="F52">
        <v>1</v>
      </c>
      <c r="G52">
        <v>1</v>
      </c>
      <c r="H52">
        <v>0</v>
      </c>
      <c r="I52">
        <v>3</v>
      </c>
      <c r="J52">
        <v>2</v>
      </c>
    </row>
    <row r="53" spans="1:10" x14ac:dyDescent="0.25">
      <c r="A53" t="s">
        <v>64</v>
      </c>
      <c r="B53" t="s">
        <v>12</v>
      </c>
      <c r="C53">
        <f t="shared" si="0"/>
        <v>8</v>
      </c>
      <c r="D53">
        <v>1</v>
      </c>
      <c r="E53">
        <v>0</v>
      </c>
      <c r="F53">
        <v>1</v>
      </c>
      <c r="G53">
        <v>2</v>
      </c>
      <c r="H53">
        <v>1</v>
      </c>
      <c r="I53">
        <v>0</v>
      </c>
      <c r="J53">
        <v>3</v>
      </c>
    </row>
    <row r="54" spans="1:10" x14ac:dyDescent="0.25">
      <c r="A54" t="s">
        <v>65</v>
      </c>
      <c r="B54" t="s">
        <v>12</v>
      </c>
      <c r="C54">
        <f t="shared" si="0"/>
        <v>9</v>
      </c>
      <c r="D54">
        <v>1</v>
      </c>
      <c r="E54">
        <v>0</v>
      </c>
      <c r="F54">
        <v>0</v>
      </c>
      <c r="G54">
        <v>0</v>
      </c>
      <c r="H54">
        <v>2</v>
      </c>
      <c r="I54">
        <v>3</v>
      </c>
      <c r="J54">
        <v>3</v>
      </c>
    </row>
    <row r="55" spans="1:10" x14ac:dyDescent="0.25">
      <c r="A55" t="s">
        <v>66</v>
      </c>
      <c r="B55" t="s">
        <v>12</v>
      </c>
      <c r="C55">
        <f t="shared" si="0"/>
        <v>11</v>
      </c>
      <c r="D55">
        <v>1</v>
      </c>
      <c r="E55">
        <v>2</v>
      </c>
      <c r="F55">
        <v>0</v>
      </c>
      <c r="G55">
        <v>2</v>
      </c>
      <c r="H55">
        <v>3</v>
      </c>
      <c r="I55">
        <v>1</v>
      </c>
      <c r="J55">
        <v>2</v>
      </c>
    </row>
    <row r="56" spans="1:10" x14ac:dyDescent="0.25">
      <c r="A56" t="s">
        <v>67</v>
      </c>
      <c r="B56" t="s">
        <v>12</v>
      </c>
      <c r="C56">
        <f t="shared" si="0"/>
        <v>8</v>
      </c>
      <c r="D56">
        <v>1</v>
      </c>
      <c r="E56">
        <v>2</v>
      </c>
      <c r="F56">
        <v>1</v>
      </c>
      <c r="G56">
        <v>2</v>
      </c>
      <c r="H56">
        <v>0</v>
      </c>
      <c r="I56">
        <v>1</v>
      </c>
      <c r="J56">
        <v>1</v>
      </c>
    </row>
    <row r="57" spans="1:10" x14ac:dyDescent="0.25">
      <c r="A57" t="s">
        <v>68</v>
      </c>
      <c r="B57" t="s">
        <v>12</v>
      </c>
      <c r="C57">
        <f t="shared" si="0"/>
        <v>9</v>
      </c>
      <c r="D57">
        <v>1</v>
      </c>
      <c r="E57">
        <v>2</v>
      </c>
      <c r="F57">
        <v>1</v>
      </c>
      <c r="G57">
        <v>0</v>
      </c>
      <c r="H57">
        <v>3</v>
      </c>
      <c r="I57">
        <v>1</v>
      </c>
      <c r="J57">
        <v>1</v>
      </c>
    </row>
    <row r="58" spans="1:10" x14ac:dyDescent="0.25">
      <c r="A58" t="s">
        <v>69</v>
      </c>
      <c r="B58" t="s">
        <v>12</v>
      </c>
      <c r="C58">
        <f t="shared" si="0"/>
        <v>12</v>
      </c>
      <c r="D58">
        <v>1</v>
      </c>
      <c r="E58">
        <v>2</v>
      </c>
      <c r="F58">
        <v>1</v>
      </c>
      <c r="G58">
        <v>2</v>
      </c>
      <c r="H58">
        <v>3</v>
      </c>
      <c r="I58">
        <v>3</v>
      </c>
      <c r="J58">
        <v>0</v>
      </c>
    </row>
    <row r="59" spans="1:10" x14ac:dyDescent="0.25">
      <c r="A59" t="s">
        <v>70</v>
      </c>
      <c r="B59" t="s">
        <v>12</v>
      </c>
      <c r="C59">
        <f t="shared" si="0"/>
        <v>7</v>
      </c>
      <c r="D59">
        <v>1</v>
      </c>
      <c r="E59">
        <v>2</v>
      </c>
      <c r="F59">
        <v>1</v>
      </c>
      <c r="G59">
        <v>1</v>
      </c>
      <c r="H59">
        <v>0</v>
      </c>
      <c r="I59">
        <v>2</v>
      </c>
      <c r="J59">
        <v>0</v>
      </c>
    </row>
    <row r="60" spans="1:10" x14ac:dyDescent="0.25">
      <c r="A60" t="s">
        <v>71</v>
      </c>
      <c r="B60" t="s">
        <v>12</v>
      </c>
      <c r="C60">
        <f t="shared" si="0"/>
        <v>15</v>
      </c>
      <c r="D60">
        <v>2</v>
      </c>
      <c r="E60">
        <v>2</v>
      </c>
      <c r="F60">
        <v>1</v>
      </c>
      <c r="G60">
        <v>2</v>
      </c>
      <c r="H60">
        <v>3</v>
      </c>
      <c r="I60">
        <v>3</v>
      </c>
      <c r="J60">
        <v>2</v>
      </c>
    </row>
    <row r="61" spans="1:10" x14ac:dyDescent="0.25">
      <c r="A61" t="s">
        <v>72</v>
      </c>
      <c r="B61" t="s">
        <v>12</v>
      </c>
      <c r="C61">
        <f t="shared" si="0"/>
        <v>10</v>
      </c>
      <c r="D61">
        <v>2</v>
      </c>
      <c r="E61">
        <v>0</v>
      </c>
      <c r="F61">
        <v>1</v>
      </c>
      <c r="G61">
        <v>0</v>
      </c>
      <c r="H61">
        <v>2</v>
      </c>
      <c r="I61">
        <v>2</v>
      </c>
      <c r="J61">
        <v>3</v>
      </c>
    </row>
    <row r="62" spans="1:10" x14ac:dyDescent="0.25">
      <c r="A62" t="s">
        <v>73</v>
      </c>
      <c r="B62" t="s">
        <v>12</v>
      </c>
      <c r="C62">
        <f t="shared" si="0"/>
        <v>11</v>
      </c>
      <c r="D62">
        <v>2</v>
      </c>
      <c r="E62">
        <v>0</v>
      </c>
      <c r="F62">
        <v>1</v>
      </c>
      <c r="G62">
        <v>2</v>
      </c>
      <c r="H62">
        <v>1</v>
      </c>
      <c r="I62">
        <v>3</v>
      </c>
      <c r="J62">
        <v>2</v>
      </c>
    </row>
    <row r="63" spans="1:10" x14ac:dyDescent="0.25">
      <c r="A63" t="s">
        <v>74</v>
      </c>
      <c r="B63" t="s">
        <v>12</v>
      </c>
      <c r="C63">
        <f t="shared" si="0"/>
        <v>11</v>
      </c>
      <c r="D63">
        <v>2</v>
      </c>
      <c r="E63">
        <v>1</v>
      </c>
      <c r="F63">
        <v>1</v>
      </c>
      <c r="G63">
        <v>2</v>
      </c>
      <c r="H63">
        <v>0</v>
      </c>
      <c r="I63">
        <v>2</v>
      </c>
      <c r="J63">
        <v>3</v>
      </c>
    </row>
    <row r="64" spans="1:10" x14ac:dyDescent="0.25">
      <c r="A64" t="s">
        <v>75</v>
      </c>
      <c r="B64" t="s">
        <v>12</v>
      </c>
      <c r="C64">
        <f t="shared" si="0"/>
        <v>8</v>
      </c>
      <c r="D64">
        <v>0</v>
      </c>
      <c r="E64">
        <v>0</v>
      </c>
      <c r="F64">
        <v>0</v>
      </c>
      <c r="G64">
        <v>2</v>
      </c>
      <c r="H64">
        <v>1</v>
      </c>
      <c r="I64">
        <v>2</v>
      </c>
      <c r="J64">
        <v>3</v>
      </c>
    </row>
    <row r="65" spans="1:10" x14ac:dyDescent="0.25">
      <c r="A65" t="s">
        <v>76</v>
      </c>
      <c r="B65" t="s">
        <v>12</v>
      </c>
      <c r="C65">
        <f t="shared" si="0"/>
        <v>9</v>
      </c>
      <c r="D65">
        <v>0</v>
      </c>
      <c r="E65">
        <v>0</v>
      </c>
      <c r="F65">
        <v>1</v>
      </c>
      <c r="G65">
        <v>2</v>
      </c>
      <c r="H65">
        <v>0</v>
      </c>
      <c r="I65">
        <v>3</v>
      </c>
      <c r="J65">
        <v>3</v>
      </c>
    </row>
    <row r="66" spans="1:10" x14ac:dyDescent="0.25">
      <c r="A66" t="s">
        <v>77</v>
      </c>
      <c r="B66" t="s">
        <v>12</v>
      </c>
      <c r="C66">
        <f t="shared" si="0"/>
        <v>12</v>
      </c>
      <c r="D66">
        <v>2</v>
      </c>
      <c r="E66">
        <v>2</v>
      </c>
      <c r="F66">
        <v>1</v>
      </c>
      <c r="G66">
        <v>1</v>
      </c>
      <c r="H66">
        <v>1</v>
      </c>
      <c r="I66">
        <v>3</v>
      </c>
      <c r="J66">
        <v>2</v>
      </c>
    </row>
    <row r="67" spans="1:10" x14ac:dyDescent="0.25">
      <c r="A67" t="s">
        <v>78</v>
      </c>
      <c r="B67" t="s">
        <v>12</v>
      </c>
      <c r="C67">
        <f t="shared" ref="C67:C78" si="5">SUM(D67:J67)</f>
        <v>12</v>
      </c>
      <c r="D67">
        <v>2</v>
      </c>
      <c r="E67">
        <v>2</v>
      </c>
      <c r="F67">
        <v>0</v>
      </c>
      <c r="G67">
        <v>1</v>
      </c>
      <c r="H67">
        <v>2</v>
      </c>
      <c r="I67">
        <v>3</v>
      </c>
      <c r="J67">
        <v>2</v>
      </c>
    </row>
    <row r="68" spans="1:10" x14ac:dyDescent="0.25">
      <c r="A68" t="s">
        <v>79</v>
      </c>
      <c r="B68" t="s">
        <v>12</v>
      </c>
      <c r="C68">
        <f t="shared" si="5"/>
        <v>9</v>
      </c>
      <c r="D68">
        <v>0</v>
      </c>
      <c r="E68">
        <v>2</v>
      </c>
      <c r="F68">
        <v>1</v>
      </c>
      <c r="G68">
        <v>2</v>
      </c>
      <c r="H68">
        <v>2</v>
      </c>
      <c r="I68">
        <v>1</v>
      </c>
      <c r="J68">
        <v>1</v>
      </c>
    </row>
    <row r="69" spans="1:10" x14ac:dyDescent="0.25">
      <c r="A69" t="s">
        <v>80</v>
      </c>
      <c r="B69" t="s">
        <v>12</v>
      </c>
      <c r="C69">
        <f t="shared" si="5"/>
        <v>8</v>
      </c>
      <c r="D69">
        <v>0</v>
      </c>
      <c r="E69">
        <v>1</v>
      </c>
      <c r="F69">
        <v>1</v>
      </c>
      <c r="G69">
        <v>1</v>
      </c>
      <c r="H69">
        <v>1</v>
      </c>
      <c r="I69">
        <v>3</v>
      </c>
      <c r="J69">
        <v>1</v>
      </c>
    </row>
    <row r="70" spans="1:10" x14ac:dyDescent="0.25">
      <c r="A70" t="s">
        <v>81</v>
      </c>
      <c r="B70" t="s">
        <v>12</v>
      </c>
      <c r="C70">
        <f t="shared" si="5"/>
        <v>10</v>
      </c>
      <c r="D70">
        <v>1</v>
      </c>
      <c r="E70">
        <v>2</v>
      </c>
      <c r="F70">
        <v>0</v>
      </c>
      <c r="G70">
        <v>0</v>
      </c>
      <c r="H70">
        <v>3</v>
      </c>
      <c r="I70">
        <v>3</v>
      </c>
      <c r="J70">
        <v>1</v>
      </c>
    </row>
    <row r="71" spans="1:10" x14ac:dyDescent="0.25">
      <c r="A71" t="s">
        <v>82</v>
      </c>
      <c r="B71" t="s">
        <v>12</v>
      </c>
      <c r="C71">
        <f t="shared" si="5"/>
        <v>11</v>
      </c>
      <c r="D71">
        <v>1</v>
      </c>
      <c r="E71">
        <v>2</v>
      </c>
      <c r="F71">
        <v>1</v>
      </c>
      <c r="G71">
        <v>2</v>
      </c>
      <c r="H71">
        <v>1</v>
      </c>
      <c r="I71">
        <v>3</v>
      </c>
      <c r="J71">
        <v>1</v>
      </c>
    </row>
    <row r="72" spans="1:10" x14ac:dyDescent="0.25">
      <c r="A72" t="s">
        <v>83</v>
      </c>
      <c r="B72" t="s">
        <v>12</v>
      </c>
      <c r="C72">
        <f t="shared" si="5"/>
        <v>6</v>
      </c>
      <c r="D72">
        <v>0</v>
      </c>
      <c r="E72">
        <v>0</v>
      </c>
      <c r="F72">
        <v>0</v>
      </c>
      <c r="G72">
        <v>0</v>
      </c>
      <c r="H72">
        <v>2</v>
      </c>
      <c r="I72">
        <v>3</v>
      </c>
      <c r="J72">
        <v>1</v>
      </c>
    </row>
    <row r="73" spans="1:10" x14ac:dyDescent="0.25">
      <c r="A73" t="s">
        <v>84</v>
      </c>
      <c r="B73" t="s">
        <v>12</v>
      </c>
      <c r="C73">
        <f t="shared" si="5"/>
        <v>6</v>
      </c>
      <c r="D73">
        <v>2</v>
      </c>
      <c r="E73">
        <v>0</v>
      </c>
      <c r="F73">
        <v>0</v>
      </c>
      <c r="G73">
        <v>0</v>
      </c>
      <c r="H73">
        <v>2</v>
      </c>
      <c r="I73">
        <v>1</v>
      </c>
      <c r="J73">
        <v>1</v>
      </c>
    </row>
    <row r="74" spans="1:10" x14ac:dyDescent="0.25">
      <c r="A74" t="s">
        <v>85</v>
      </c>
      <c r="B74" t="s">
        <v>12</v>
      </c>
      <c r="C74">
        <f t="shared" si="5"/>
        <v>5</v>
      </c>
      <c r="D74">
        <v>1</v>
      </c>
      <c r="E74">
        <v>0</v>
      </c>
      <c r="F74">
        <v>0</v>
      </c>
      <c r="G74">
        <v>2</v>
      </c>
      <c r="H74">
        <v>1</v>
      </c>
      <c r="I74">
        <v>0</v>
      </c>
      <c r="J74">
        <v>1</v>
      </c>
    </row>
    <row r="75" spans="1:10" x14ac:dyDescent="0.25">
      <c r="A75" t="s">
        <v>86</v>
      </c>
      <c r="B75" t="s">
        <v>12</v>
      </c>
      <c r="C75">
        <f t="shared" si="5"/>
        <v>5</v>
      </c>
      <c r="D75">
        <v>0</v>
      </c>
      <c r="E75">
        <v>1</v>
      </c>
      <c r="F75">
        <v>1</v>
      </c>
      <c r="G75">
        <v>1</v>
      </c>
      <c r="H75">
        <v>1</v>
      </c>
      <c r="I75">
        <v>0</v>
      </c>
      <c r="J75">
        <v>1</v>
      </c>
    </row>
    <row r="76" spans="1:10" x14ac:dyDescent="0.25">
      <c r="A76" t="s">
        <v>87</v>
      </c>
      <c r="B76" t="s">
        <v>12</v>
      </c>
      <c r="C76">
        <f t="shared" si="5"/>
        <v>6</v>
      </c>
      <c r="D76">
        <v>0</v>
      </c>
      <c r="E76">
        <v>1</v>
      </c>
      <c r="F76">
        <v>1</v>
      </c>
      <c r="G76">
        <v>0</v>
      </c>
      <c r="H76">
        <v>2</v>
      </c>
      <c r="I76">
        <v>1</v>
      </c>
      <c r="J76">
        <v>1</v>
      </c>
    </row>
    <row r="77" spans="1:10" x14ac:dyDescent="0.25">
      <c r="A77" t="s">
        <v>88</v>
      </c>
      <c r="B77" t="s">
        <v>12</v>
      </c>
      <c r="C77">
        <f t="shared" si="5"/>
        <v>12</v>
      </c>
      <c r="D77">
        <v>0</v>
      </c>
      <c r="E77">
        <v>2</v>
      </c>
      <c r="F77">
        <v>1</v>
      </c>
      <c r="G77">
        <v>1</v>
      </c>
      <c r="H77">
        <v>3</v>
      </c>
      <c r="I77">
        <v>3</v>
      </c>
      <c r="J77">
        <v>2</v>
      </c>
    </row>
    <row r="78" spans="1:10" x14ac:dyDescent="0.25">
      <c r="A78" t="s">
        <v>89</v>
      </c>
      <c r="B78" t="s">
        <v>12</v>
      </c>
      <c r="C78">
        <f t="shared" si="5"/>
        <v>17</v>
      </c>
      <c r="D78">
        <v>2</v>
      </c>
      <c r="E78">
        <v>2</v>
      </c>
      <c r="F78">
        <v>1</v>
      </c>
      <c r="G78">
        <v>2</v>
      </c>
      <c r="H78">
        <v>3</v>
      </c>
      <c r="I78">
        <v>3</v>
      </c>
      <c r="J78">
        <v>4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CC1EA-A3E7-4883-9888-DB1BD728AD2F}">
  <dimension ref="A1:J78"/>
  <sheetViews>
    <sheetView tabSelected="1" topLeftCell="A40" workbookViewId="0">
      <selection activeCell="Q43" sqref="Q43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13</v>
      </c>
      <c r="B2" t="s">
        <v>10</v>
      </c>
      <c r="C2">
        <f>SUM(D2:J2)</f>
        <v>13</v>
      </c>
      <c r="D2">
        <v>2</v>
      </c>
      <c r="E2">
        <v>2</v>
      </c>
      <c r="F2">
        <v>1</v>
      </c>
      <c r="G2">
        <v>2</v>
      </c>
      <c r="H2">
        <v>2</v>
      </c>
      <c r="I2">
        <v>3</v>
      </c>
      <c r="J2">
        <v>1</v>
      </c>
    </row>
    <row r="3" spans="1:10" x14ac:dyDescent="0.25">
      <c r="A3" t="s">
        <v>15</v>
      </c>
      <c r="B3" t="s">
        <v>10</v>
      </c>
      <c r="C3">
        <f t="shared" ref="C3:C66" si="0">SUM(D3:J3)</f>
        <v>12</v>
      </c>
      <c r="D3">
        <v>2</v>
      </c>
      <c r="E3">
        <v>2</v>
      </c>
      <c r="F3">
        <v>0</v>
      </c>
      <c r="G3">
        <v>2</v>
      </c>
      <c r="H3">
        <v>3</v>
      </c>
      <c r="I3">
        <v>0</v>
      </c>
      <c r="J3">
        <v>3</v>
      </c>
    </row>
    <row r="4" spans="1:10" x14ac:dyDescent="0.25">
      <c r="A4" t="s">
        <v>16</v>
      </c>
      <c r="B4" t="s">
        <v>10</v>
      </c>
      <c r="C4">
        <f t="shared" si="0"/>
        <v>8</v>
      </c>
      <c r="D4">
        <v>2</v>
      </c>
      <c r="E4">
        <v>2</v>
      </c>
      <c r="F4">
        <v>1</v>
      </c>
      <c r="G4">
        <v>0</v>
      </c>
      <c r="H4">
        <v>1</v>
      </c>
      <c r="I4">
        <v>0</v>
      </c>
      <c r="J4">
        <v>2</v>
      </c>
    </row>
    <row r="5" spans="1:10" x14ac:dyDescent="0.25">
      <c r="A5" t="s">
        <v>17</v>
      </c>
      <c r="B5" t="s">
        <v>10</v>
      </c>
      <c r="C5">
        <f t="shared" si="0"/>
        <v>7</v>
      </c>
      <c r="D5">
        <v>2</v>
      </c>
      <c r="E5">
        <v>1</v>
      </c>
      <c r="F5">
        <v>1</v>
      </c>
      <c r="G5">
        <v>1</v>
      </c>
      <c r="H5">
        <v>0</v>
      </c>
      <c r="I5">
        <v>0</v>
      </c>
      <c r="J5">
        <v>2</v>
      </c>
    </row>
    <row r="6" spans="1:10" x14ac:dyDescent="0.25">
      <c r="A6" t="s">
        <v>18</v>
      </c>
      <c r="B6" t="s">
        <v>10</v>
      </c>
      <c r="C6">
        <f t="shared" si="0"/>
        <v>8</v>
      </c>
      <c r="D6">
        <v>2</v>
      </c>
      <c r="E6">
        <v>1</v>
      </c>
      <c r="F6">
        <v>1</v>
      </c>
      <c r="G6">
        <v>1</v>
      </c>
      <c r="H6">
        <v>0</v>
      </c>
      <c r="I6">
        <v>1</v>
      </c>
      <c r="J6">
        <v>2</v>
      </c>
    </row>
    <row r="7" spans="1:10" x14ac:dyDescent="0.25">
      <c r="A7" t="s">
        <v>19</v>
      </c>
      <c r="B7" t="s">
        <v>10</v>
      </c>
      <c r="C7">
        <f t="shared" si="0"/>
        <v>11</v>
      </c>
      <c r="D7">
        <v>2</v>
      </c>
      <c r="E7">
        <v>1</v>
      </c>
      <c r="F7">
        <v>1</v>
      </c>
      <c r="G7">
        <v>0</v>
      </c>
      <c r="H7">
        <v>3</v>
      </c>
      <c r="I7">
        <v>2</v>
      </c>
      <c r="J7">
        <v>2</v>
      </c>
    </row>
    <row r="8" spans="1:10" x14ac:dyDescent="0.25">
      <c r="A8" t="s">
        <v>20</v>
      </c>
      <c r="B8" t="s">
        <v>10</v>
      </c>
      <c r="C8">
        <f t="shared" si="0"/>
        <v>11</v>
      </c>
      <c r="D8">
        <v>2</v>
      </c>
      <c r="E8">
        <v>2</v>
      </c>
      <c r="F8">
        <v>0</v>
      </c>
      <c r="G8">
        <v>0</v>
      </c>
      <c r="H8">
        <v>3</v>
      </c>
      <c r="I8">
        <v>1</v>
      </c>
      <c r="J8">
        <v>3</v>
      </c>
    </row>
    <row r="9" spans="1:10" x14ac:dyDescent="0.25">
      <c r="A9" t="s">
        <v>21</v>
      </c>
      <c r="B9" t="s">
        <v>10</v>
      </c>
      <c r="C9">
        <f t="shared" si="0"/>
        <v>12</v>
      </c>
      <c r="D9">
        <v>1</v>
      </c>
      <c r="E9">
        <v>1</v>
      </c>
      <c r="F9">
        <v>0</v>
      </c>
      <c r="G9">
        <v>2</v>
      </c>
      <c r="H9">
        <v>3</v>
      </c>
      <c r="I9">
        <v>2</v>
      </c>
      <c r="J9">
        <v>3</v>
      </c>
    </row>
    <row r="10" spans="1:10" x14ac:dyDescent="0.25">
      <c r="A10" t="s">
        <v>22</v>
      </c>
      <c r="B10" t="s">
        <v>10</v>
      </c>
      <c r="C10">
        <f t="shared" si="0"/>
        <v>10</v>
      </c>
      <c r="D10">
        <v>1</v>
      </c>
      <c r="E10">
        <v>0</v>
      </c>
      <c r="F10">
        <v>0</v>
      </c>
      <c r="G10">
        <v>0</v>
      </c>
      <c r="H10">
        <v>3</v>
      </c>
      <c r="I10">
        <v>3</v>
      </c>
      <c r="J10">
        <v>3</v>
      </c>
    </row>
    <row r="11" spans="1:10" x14ac:dyDescent="0.25">
      <c r="A11" t="s">
        <v>23</v>
      </c>
      <c r="B11" t="s">
        <v>10</v>
      </c>
      <c r="C11">
        <f t="shared" si="0"/>
        <v>9</v>
      </c>
      <c r="D11">
        <v>0</v>
      </c>
      <c r="E11">
        <v>1</v>
      </c>
      <c r="F11">
        <v>0</v>
      </c>
      <c r="G11">
        <v>1</v>
      </c>
      <c r="H11">
        <v>3</v>
      </c>
      <c r="I11">
        <v>1</v>
      </c>
      <c r="J11">
        <v>3</v>
      </c>
    </row>
    <row r="12" spans="1:10" x14ac:dyDescent="0.25">
      <c r="A12" t="s">
        <v>24</v>
      </c>
      <c r="B12" t="s">
        <v>10</v>
      </c>
      <c r="C12">
        <f t="shared" si="0"/>
        <v>9</v>
      </c>
      <c r="D12">
        <v>0</v>
      </c>
      <c r="E12">
        <v>0</v>
      </c>
      <c r="F12">
        <v>1</v>
      </c>
      <c r="G12">
        <v>2</v>
      </c>
      <c r="H12">
        <v>2</v>
      </c>
      <c r="I12">
        <v>2</v>
      </c>
      <c r="J12">
        <v>2</v>
      </c>
    </row>
    <row r="13" spans="1:10" x14ac:dyDescent="0.25">
      <c r="A13" t="s">
        <v>25</v>
      </c>
      <c r="B13" t="s">
        <v>10</v>
      </c>
      <c r="C13">
        <f t="shared" si="0"/>
        <v>12</v>
      </c>
      <c r="D13">
        <v>1</v>
      </c>
      <c r="E13">
        <v>2</v>
      </c>
      <c r="F13">
        <v>1</v>
      </c>
      <c r="G13">
        <v>1</v>
      </c>
      <c r="H13">
        <v>3</v>
      </c>
      <c r="I13">
        <v>2</v>
      </c>
      <c r="J13">
        <v>2</v>
      </c>
    </row>
    <row r="14" spans="1:10" x14ac:dyDescent="0.25">
      <c r="A14" t="s">
        <v>26</v>
      </c>
      <c r="B14" t="s">
        <v>10</v>
      </c>
      <c r="C14">
        <f t="shared" si="0"/>
        <v>8</v>
      </c>
      <c r="D14">
        <v>1</v>
      </c>
      <c r="E14">
        <v>2</v>
      </c>
      <c r="F14">
        <v>1</v>
      </c>
      <c r="G14">
        <v>1</v>
      </c>
      <c r="H14">
        <v>0</v>
      </c>
      <c r="I14">
        <v>2</v>
      </c>
      <c r="J14">
        <v>1</v>
      </c>
    </row>
    <row r="15" spans="1:10" x14ac:dyDescent="0.25">
      <c r="A15" t="s">
        <v>27</v>
      </c>
      <c r="B15" t="s">
        <v>10</v>
      </c>
      <c r="C15">
        <f t="shared" si="0"/>
        <v>7</v>
      </c>
      <c r="D15">
        <v>0</v>
      </c>
      <c r="E15">
        <v>2</v>
      </c>
      <c r="F15">
        <v>0</v>
      </c>
      <c r="G15">
        <v>2</v>
      </c>
      <c r="H15">
        <v>1</v>
      </c>
      <c r="I15">
        <v>1</v>
      </c>
      <c r="J15">
        <v>1</v>
      </c>
    </row>
    <row r="16" spans="1:10" x14ac:dyDescent="0.25">
      <c r="A16" t="s">
        <v>28</v>
      </c>
      <c r="B16" t="s">
        <v>10</v>
      </c>
      <c r="C16">
        <f t="shared" si="0"/>
        <v>10</v>
      </c>
      <c r="D16">
        <v>1</v>
      </c>
      <c r="E16">
        <v>2</v>
      </c>
      <c r="F16">
        <v>1</v>
      </c>
      <c r="G16">
        <v>1</v>
      </c>
      <c r="H16">
        <v>2</v>
      </c>
      <c r="I16">
        <v>2</v>
      </c>
      <c r="J16">
        <v>1</v>
      </c>
    </row>
    <row r="17" spans="1:10" x14ac:dyDescent="0.25">
      <c r="A17" t="s">
        <v>29</v>
      </c>
      <c r="B17" t="s">
        <v>10</v>
      </c>
      <c r="C17">
        <f t="shared" si="0"/>
        <v>8</v>
      </c>
      <c r="D17">
        <v>2</v>
      </c>
      <c r="E17">
        <v>0</v>
      </c>
      <c r="F17">
        <v>1</v>
      </c>
      <c r="G17">
        <v>1</v>
      </c>
      <c r="H17">
        <v>2</v>
      </c>
      <c r="I17">
        <v>1</v>
      </c>
      <c r="J17">
        <v>1</v>
      </c>
    </row>
    <row r="18" spans="1:10" x14ac:dyDescent="0.25">
      <c r="A18" t="s">
        <v>30</v>
      </c>
      <c r="B18" t="s">
        <v>10</v>
      </c>
      <c r="C18">
        <f t="shared" si="0"/>
        <v>10</v>
      </c>
      <c r="D18">
        <v>2</v>
      </c>
      <c r="E18">
        <v>0</v>
      </c>
      <c r="F18">
        <v>0</v>
      </c>
      <c r="G18">
        <v>2</v>
      </c>
      <c r="H18">
        <v>3</v>
      </c>
      <c r="I18">
        <v>3</v>
      </c>
      <c r="J18">
        <v>0</v>
      </c>
    </row>
    <row r="19" spans="1:10" x14ac:dyDescent="0.25">
      <c r="A19" t="s">
        <v>31</v>
      </c>
      <c r="B19" t="s">
        <v>10</v>
      </c>
      <c r="C19">
        <f t="shared" si="0"/>
        <v>7</v>
      </c>
      <c r="D19">
        <v>1</v>
      </c>
      <c r="E19">
        <v>0</v>
      </c>
      <c r="F19">
        <v>1</v>
      </c>
      <c r="G19">
        <v>1</v>
      </c>
      <c r="H19">
        <v>1</v>
      </c>
      <c r="I19">
        <v>3</v>
      </c>
      <c r="J19">
        <v>0</v>
      </c>
    </row>
    <row r="20" spans="1:10" x14ac:dyDescent="0.25">
      <c r="A20" t="s">
        <v>32</v>
      </c>
      <c r="B20" t="s">
        <v>10</v>
      </c>
      <c r="C20">
        <f t="shared" si="0"/>
        <v>9</v>
      </c>
      <c r="D20">
        <v>2</v>
      </c>
      <c r="E20">
        <v>0</v>
      </c>
      <c r="F20">
        <v>1</v>
      </c>
      <c r="G20">
        <v>0</v>
      </c>
      <c r="H20">
        <v>2</v>
      </c>
      <c r="I20">
        <v>2</v>
      </c>
      <c r="J20">
        <v>2</v>
      </c>
    </row>
    <row r="21" spans="1:10" x14ac:dyDescent="0.25">
      <c r="A21" t="s">
        <v>33</v>
      </c>
      <c r="B21" t="s">
        <v>10</v>
      </c>
      <c r="C21">
        <f t="shared" si="0"/>
        <v>8</v>
      </c>
      <c r="D21">
        <v>0</v>
      </c>
      <c r="E21">
        <v>0</v>
      </c>
      <c r="F21">
        <v>1</v>
      </c>
      <c r="G21">
        <v>1</v>
      </c>
      <c r="H21">
        <v>0</v>
      </c>
      <c r="I21">
        <v>3</v>
      </c>
      <c r="J21">
        <v>3</v>
      </c>
    </row>
    <row r="22" spans="1:10" x14ac:dyDescent="0.25">
      <c r="A22" t="s">
        <v>34</v>
      </c>
      <c r="B22" t="s">
        <v>10</v>
      </c>
      <c r="C22">
        <f t="shared" si="0"/>
        <v>8</v>
      </c>
      <c r="D22">
        <v>0</v>
      </c>
      <c r="E22">
        <v>0</v>
      </c>
      <c r="F22">
        <v>1</v>
      </c>
      <c r="G22">
        <v>1</v>
      </c>
      <c r="H22">
        <v>2</v>
      </c>
      <c r="I22">
        <v>2</v>
      </c>
      <c r="J22">
        <v>2</v>
      </c>
    </row>
    <row r="23" spans="1:10" x14ac:dyDescent="0.25">
      <c r="A23" t="s">
        <v>35</v>
      </c>
      <c r="B23" t="s">
        <v>10</v>
      </c>
      <c r="C23">
        <f t="shared" si="0"/>
        <v>7</v>
      </c>
      <c r="D23">
        <v>0</v>
      </c>
      <c r="E23">
        <v>0</v>
      </c>
      <c r="F23">
        <v>1</v>
      </c>
      <c r="G23">
        <v>1</v>
      </c>
      <c r="H23">
        <v>1</v>
      </c>
      <c r="I23">
        <v>1</v>
      </c>
      <c r="J23">
        <v>3</v>
      </c>
    </row>
    <row r="24" spans="1:10" x14ac:dyDescent="0.25">
      <c r="A24" t="s">
        <v>14</v>
      </c>
      <c r="B24" t="s">
        <v>11</v>
      </c>
      <c r="C24">
        <f t="shared" si="0"/>
        <v>9</v>
      </c>
      <c r="D24">
        <v>2</v>
      </c>
      <c r="E24">
        <v>1</v>
      </c>
      <c r="F24">
        <v>1</v>
      </c>
      <c r="G24">
        <v>2</v>
      </c>
      <c r="H24">
        <v>1</v>
      </c>
      <c r="I24">
        <v>2</v>
      </c>
      <c r="J24">
        <v>0</v>
      </c>
    </row>
    <row r="25" spans="1:10" x14ac:dyDescent="0.25">
      <c r="A25" t="s">
        <v>36</v>
      </c>
      <c r="B25" t="s">
        <v>11</v>
      </c>
      <c r="C25">
        <f t="shared" si="0"/>
        <v>8</v>
      </c>
      <c r="D25">
        <v>2</v>
      </c>
      <c r="E25">
        <v>1</v>
      </c>
      <c r="F25">
        <v>1</v>
      </c>
      <c r="G25">
        <v>2</v>
      </c>
      <c r="H25">
        <v>0</v>
      </c>
      <c r="I25">
        <v>2</v>
      </c>
      <c r="J25">
        <v>0</v>
      </c>
    </row>
    <row r="26" spans="1:10" x14ac:dyDescent="0.25">
      <c r="A26" t="s">
        <v>37</v>
      </c>
      <c r="B26" t="s">
        <v>11</v>
      </c>
      <c r="C26">
        <f t="shared" si="0"/>
        <v>7</v>
      </c>
      <c r="D26">
        <v>1</v>
      </c>
      <c r="E26">
        <v>1</v>
      </c>
      <c r="F26">
        <v>1</v>
      </c>
      <c r="G26">
        <v>1</v>
      </c>
      <c r="H26">
        <v>3</v>
      </c>
      <c r="I26">
        <v>0</v>
      </c>
      <c r="J26">
        <v>0</v>
      </c>
    </row>
    <row r="27" spans="1:10" x14ac:dyDescent="0.25">
      <c r="A27" t="s">
        <v>38</v>
      </c>
      <c r="B27" t="s">
        <v>11</v>
      </c>
      <c r="C27">
        <f t="shared" si="0"/>
        <v>8</v>
      </c>
      <c r="D27">
        <v>1</v>
      </c>
      <c r="E27">
        <v>1</v>
      </c>
      <c r="F27">
        <v>1</v>
      </c>
      <c r="G27">
        <v>1</v>
      </c>
      <c r="H27">
        <v>1</v>
      </c>
      <c r="I27">
        <v>3</v>
      </c>
      <c r="J27">
        <v>0</v>
      </c>
    </row>
    <row r="28" spans="1:10" x14ac:dyDescent="0.25">
      <c r="A28" t="s">
        <v>39</v>
      </c>
      <c r="B28" t="s">
        <v>11</v>
      </c>
      <c r="C28">
        <f t="shared" si="0"/>
        <v>8</v>
      </c>
      <c r="D28">
        <v>1</v>
      </c>
      <c r="E28">
        <v>1</v>
      </c>
      <c r="F28">
        <v>1</v>
      </c>
      <c r="G28">
        <v>1</v>
      </c>
      <c r="H28">
        <v>3</v>
      </c>
      <c r="I28">
        <v>1</v>
      </c>
      <c r="J28">
        <v>0</v>
      </c>
    </row>
    <row r="29" spans="1:10" x14ac:dyDescent="0.25">
      <c r="A29" t="s">
        <v>40</v>
      </c>
      <c r="B29" t="s">
        <v>11</v>
      </c>
      <c r="C29">
        <f t="shared" si="0"/>
        <v>7</v>
      </c>
      <c r="D29">
        <v>0</v>
      </c>
      <c r="E29">
        <v>0</v>
      </c>
      <c r="F29">
        <v>1</v>
      </c>
      <c r="G29">
        <v>2</v>
      </c>
      <c r="H29">
        <v>1</v>
      </c>
      <c r="I29">
        <v>2</v>
      </c>
      <c r="J29">
        <v>1</v>
      </c>
    </row>
    <row r="30" spans="1:10" x14ac:dyDescent="0.25">
      <c r="A30" t="s">
        <v>41</v>
      </c>
      <c r="B30" t="s">
        <v>11</v>
      </c>
      <c r="C30">
        <f t="shared" si="0"/>
        <v>9</v>
      </c>
      <c r="D30">
        <v>0</v>
      </c>
      <c r="E30">
        <v>0</v>
      </c>
      <c r="F30">
        <v>1</v>
      </c>
      <c r="G30">
        <v>2</v>
      </c>
      <c r="H30">
        <v>2</v>
      </c>
      <c r="I30">
        <v>2</v>
      </c>
      <c r="J30">
        <v>2</v>
      </c>
    </row>
    <row r="31" spans="1:10" x14ac:dyDescent="0.25">
      <c r="A31" t="s">
        <v>42</v>
      </c>
      <c r="B31" t="s">
        <v>11</v>
      </c>
      <c r="C31">
        <f t="shared" si="0"/>
        <v>7</v>
      </c>
      <c r="D31">
        <v>0</v>
      </c>
      <c r="E31">
        <v>0</v>
      </c>
      <c r="F31">
        <v>0</v>
      </c>
      <c r="G31">
        <v>2</v>
      </c>
      <c r="H31">
        <v>1</v>
      </c>
      <c r="I31">
        <v>2</v>
      </c>
      <c r="J31">
        <v>2</v>
      </c>
    </row>
    <row r="32" spans="1:10" x14ac:dyDescent="0.25">
      <c r="A32" t="s">
        <v>43</v>
      </c>
      <c r="B32" t="s">
        <v>11</v>
      </c>
      <c r="C32">
        <f t="shared" si="0"/>
        <v>9</v>
      </c>
      <c r="D32">
        <v>0</v>
      </c>
      <c r="E32">
        <v>1</v>
      </c>
      <c r="F32">
        <v>0</v>
      </c>
      <c r="G32">
        <v>1</v>
      </c>
      <c r="H32">
        <v>3</v>
      </c>
      <c r="I32">
        <v>3</v>
      </c>
      <c r="J32">
        <v>1</v>
      </c>
    </row>
    <row r="33" spans="1:10" x14ac:dyDescent="0.25">
      <c r="A33" t="s">
        <v>44</v>
      </c>
      <c r="B33" t="s">
        <v>11</v>
      </c>
      <c r="C33">
        <f t="shared" si="0"/>
        <v>9</v>
      </c>
      <c r="D33">
        <v>0</v>
      </c>
      <c r="E33">
        <v>1</v>
      </c>
      <c r="F33">
        <v>1</v>
      </c>
      <c r="G33">
        <v>1</v>
      </c>
      <c r="H33">
        <v>3</v>
      </c>
      <c r="I33">
        <v>1</v>
      </c>
      <c r="J33">
        <v>2</v>
      </c>
    </row>
    <row r="34" spans="1:10" x14ac:dyDescent="0.25">
      <c r="A34" t="s">
        <v>45</v>
      </c>
      <c r="B34" t="s">
        <v>11</v>
      </c>
      <c r="C34">
        <f t="shared" si="0"/>
        <v>9</v>
      </c>
      <c r="D34">
        <v>0</v>
      </c>
      <c r="E34">
        <v>1</v>
      </c>
      <c r="F34">
        <v>1</v>
      </c>
      <c r="G34">
        <v>0</v>
      </c>
      <c r="H34">
        <v>0</v>
      </c>
      <c r="I34">
        <v>3</v>
      </c>
      <c r="J34">
        <v>4</v>
      </c>
    </row>
    <row r="35" spans="1:10" x14ac:dyDescent="0.25">
      <c r="A35" t="s">
        <v>46</v>
      </c>
      <c r="B35" t="s">
        <v>11</v>
      </c>
      <c r="C35">
        <f t="shared" si="0"/>
        <v>11</v>
      </c>
      <c r="D35">
        <v>0</v>
      </c>
      <c r="E35">
        <v>1</v>
      </c>
      <c r="F35">
        <v>1</v>
      </c>
      <c r="G35">
        <v>2</v>
      </c>
      <c r="H35">
        <v>2</v>
      </c>
      <c r="I35">
        <v>3</v>
      </c>
      <c r="J35">
        <v>2</v>
      </c>
    </row>
    <row r="36" spans="1:10" x14ac:dyDescent="0.25">
      <c r="A36" t="s">
        <v>47</v>
      </c>
      <c r="B36" t="s">
        <v>11</v>
      </c>
      <c r="C36">
        <f t="shared" si="0"/>
        <v>11</v>
      </c>
      <c r="D36">
        <v>0</v>
      </c>
      <c r="E36">
        <v>2</v>
      </c>
      <c r="F36">
        <v>1</v>
      </c>
      <c r="G36">
        <v>2</v>
      </c>
      <c r="H36">
        <v>3</v>
      </c>
      <c r="I36">
        <v>1</v>
      </c>
      <c r="J36">
        <v>2</v>
      </c>
    </row>
    <row r="37" spans="1:10" x14ac:dyDescent="0.25">
      <c r="A37" t="s">
        <v>48</v>
      </c>
      <c r="B37" t="s">
        <v>11</v>
      </c>
      <c r="C37">
        <f t="shared" si="0"/>
        <v>9</v>
      </c>
      <c r="D37">
        <v>0</v>
      </c>
      <c r="E37">
        <v>2</v>
      </c>
      <c r="F37">
        <v>1</v>
      </c>
      <c r="G37">
        <v>2</v>
      </c>
      <c r="H37">
        <v>2</v>
      </c>
      <c r="I37">
        <v>1</v>
      </c>
      <c r="J37">
        <v>1</v>
      </c>
    </row>
    <row r="38" spans="1:10" x14ac:dyDescent="0.25">
      <c r="A38" t="s">
        <v>49</v>
      </c>
      <c r="B38" t="s">
        <v>11</v>
      </c>
      <c r="C38">
        <f t="shared" si="0"/>
        <v>9</v>
      </c>
      <c r="D38">
        <v>0</v>
      </c>
      <c r="E38">
        <v>0</v>
      </c>
      <c r="F38">
        <v>1</v>
      </c>
      <c r="G38">
        <v>2</v>
      </c>
      <c r="H38">
        <v>3</v>
      </c>
      <c r="I38">
        <v>2</v>
      </c>
      <c r="J38">
        <v>1</v>
      </c>
    </row>
    <row r="39" spans="1:10" x14ac:dyDescent="0.25">
      <c r="A39" t="s">
        <v>50</v>
      </c>
      <c r="B39" t="s">
        <v>11</v>
      </c>
      <c r="C39">
        <f t="shared" si="0"/>
        <v>10</v>
      </c>
      <c r="D39">
        <v>1</v>
      </c>
      <c r="E39">
        <v>2</v>
      </c>
      <c r="F39">
        <v>1</v>
      </c>
      <c r="G39">
        <v>1</v>
      </c>
      <c r="H39">
        <v>0</v>
      </c>
      <c r="I39">
        <v>2</v>
      </c>
      <c r="J39">
        <v>3</v>
      </c>
    </row>
    <row r="40" spans="1:10" x14ac:dyDescent="0.25">
      <c r="A40" t="s">
        <v>51</v>
      </c>
      <c r="B40" t="s">
        <v>11</v>
      </c>
      <c r="C40">
        <f t="shared" si="0"/>
        <v>10</v>
      </c>
      <c r="D40">
        <v>1</v>
      </c>
      <c r="E40">
        <v>2</v>
      </c>
      <c r="F40">
        <v>0</v>
      </c>
      <c r="G40">
        <v>2</v>
      </c>
      <c r="H40">
        <v>1</v>
      </c>
      <c r="I40">
        <v>1</v>
      </c>
      <c r="J40">
        <v>3</v>
      </c>
    </row>
    <row r="41" spans="1:10" x14ac:dyDescent="0.25">
      <c r="A41" t="s">
        <v>52</v>
      </c>
      <c r="B41" t="s">
        <v>11</v>
      </c>
      <c r="C41">
        <f t="shared" si="0"/>
        <v>12</v>
      </c>
      <c r="D41">
        <v>2</v>
      </c>
      <c r="E41">
        <v>1</v>
      </c>
      <c r="F41">
        <v>0</v>
      </c>
      <c r="G41">
        <v>2</v>
      </c>
      <c r="H41">
        <v>3</v>
      </c>
      <c r="I41">
        <v>1</v>
      </c>
      <c r="J41">
        <v>3</v>
      </c>
    </row>
    <row r="42" spans="1:10" x14ac:dyDescent="0.25">
      <c r="A42" t="s">
        <v>53</v>
      </c>
      <c r="B42" t="s">
        <v>11</v>
      </c>
      <c r="C42">
        <f t="shared" si="0"/>
        <v>10</v>
      </c>
      <c r="D42">
        <v>2</v>
      </c>
      <c r="E42">
        <v>1</v>
      </c>
      <c r="F42">
        <v>0</v>
      </c>
      <c r="G42">
        <v>1</v>
      </c>
      <c r="H42">
        <v>0</v>
      </c>
      <c r="I42">
        <v>3</v>
      </c>
      <c r="J42">
        <v>3</v>
      </c>
    </row>
    <row r="43" spans="1:10" x14ac:dyDescent="0.25">
      <c r="A43" t="s">
        <v>54</v>
      </c>
      <c r="B43" t="s">
        <v>11</v>
      </c>
      <c r="C43">
        <f t="shared" si="0"/>
        <v>13</v>
      </c>
      <c r="D43">
        <v>2</v>
      </c>
      <c r="E43">
        <v>2</v>
      </c>
      <c r="F43">
        <v>0</v>
      </c>
      <c r="G43">
        <v>0</v>
      </c>
      <c r="H43">
        <v>2</v>
      </c>
      <c r="I43">
        <v>3</v>
      </c>
      <c r="J43">
        <v>4</v>
      </c>
    </row>
    <row r="44" spans="1:10" x14ac:dyDescent="0.25">
      <c r="A44" t="s">
        <v>55</v>
      </c>
      <c r="B44" t="s">
        <v>11</v>
      </c>
      <c r="C44">
        <f t="shared" si="0"/>
        <v>17</v>
      </c>
      <c r="D44">
        <v>2</v>
      </c>
      <c r="E44">
        <v>2</v>
      </c>
      <c r="F44">
        <v>1</v>
      </c>
      <c r="G44">
        <v>2</v>
      </c>
      <c r="H44">
        <v>3</v>
      </c>
      <c r="I44">
        <v>3</v>
      </c>
      <c r="J44">
        <v>4</v>
      </c>
    </row>
    <row r="45" spans="1:10" x14ac:dyDescent="0.25">
      <c r="A45" t="s">
        <v>56</v>
      </c>
      <c r="B45" t="s">
        <v>11</v>
      </c>
      <c r="C45">
        <f t="shared" si="0"/>
        <v>4</v>
      </c>
      <c r="D45">
        <v>1</v>
      </c>
      <c r="E45">
        <v>1</v>
      </c>
      <c r="F45">
        <v>1</v>
      </c>
      <c r="G45">
        <v>1</v>
      </c>
      <c r="H45">
        <v>0</v>
      </c>
      <c r="I45">
        <v>0</v>
      </c>
      <c r="J45">
        <v>0</v>
      </c>
    </row>
    <row r="46" spans="1:10" x14ac:dyDescent="0.25">
      <c r="A46" t="s">
        <v>57</v>
      </c>
      <c r="B46" t="s">
        <v>12</v>
      </c>
      <c r="C46">
        <f t="shared" si="0"/>
        <v>10</v>
      </c>
      <c r="D46">
        <v>0</v>
      </c>
      <c r="E46">
        <v>0</v>
      </c>
      <c r="F46">
        <v>1</v>
      </c>
      <c r="G46">
        <v>0</v>
      </c>
      <c r="H46">
        <v>3</v>
      </c>
      <c r="I46">
        <v>2</v>
      </c>
      <c r="J46">
        <v>4</v>
      </c>
    </row>
    <row r="47" spans="1:10" x14ac:dyDescent="0.25">
      <c r="A47" t="s">
        <v>58</v>
      </c>
      <c r="B47" t="s">
        <v>12</v>
      </c>
      <c r="C47">
        <f t="shared" si="0"/>
        <v>6</v>
      </c>
      <c r="D47">
        <v>0</v>
      </c>
      <c r="E47">
        <v>0</v>
      </c>
      <c r="F47">
        <v>1</v>
      </c>
      <c r="G47">
        <v>0</v>
      </c>
      <c r="H47">
        <v>3</v>
      </c>
      <c r="I47">
        <v>2</v>
      </c>
      <c r="J47">
        <v>0</v>
      </c>
    </row>
    <row r="48" spans="1:10" x14ac:dyDescent="0.25">
      <c r="A48" t="s">
        <v>59</v>
      </c>
      <c r="B48" t="s">
        <v>12</v>
      </c>
      <c r="C48">
        <f t="shared" si="0"/>
        <v>11</v>
      </c>
      <c r="D48">
        <v>1</v>
      </c>
      <c r="E48">
        <v>1</v>
      </c>
      <c r="F48">
        <v>1</v>
      </c>
      <c r="G48">
        <v>1</v>
      </c>
      <c r="H48">
        <v>0</v>
      </c>
      <c r="I48">
        <v>3</v>
      </c>
      <c r="J48">
        <v>4</v>
      </c>
    </row>
    <row r="49" spans="1:10" x14ac:dyDescent="0.25">
      <c r="A49" t="s">
        <v>60</v>
      </c>
      <c r="B49" t="s">
        <v>12</v>
      </c>
      <c r="C49">
        <f t="shared" si="0"/>
        <v>8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2</v>
      </c>
    </row>
    <row r="50" spans="1:10" x14ac:dyDescent="0.25">
      <c r="A50" t="s">
        <v>61</v>
      </c>
      <c r="B50" t="s">
        <v>12</v>
      </c>
      <c r="C50">
        <f t="shared" si="0"/>
        <v>12</v>
      </c>
      <c r="D50">
        <v>2</v>
      </c>
      <c r="E50">
        <v>2</v>
      </c>
      <c r="F50">
        <v>1</v>
      </c>
      <c r="G50">
        <v>1</v>
      </c>
      <c r="H50">
        <v>2</v>
      </c>
      <c r="I50">
        <v>2</v>
      </c>
      <c r="J50">
        <v>2</v>
      </c>
    </row>
    <row r="51" spans="1:10" x14ac:dyDescent="0.25">
      <c r="A51" t="s">
        <v>62</v>
      </c>
      <c r="B51" t="s">
        <v>12</v>
      </c>
      <c r="C51">
        <f t="shared" si="0"/>
        <v>12</v>
      </c>
      <c r="D51">
        <v>2</v>
      </c>
      <c r="E51">
        <v>2</v>
      </c>
      <c r="F51">
        <v>1</v>
      </c>
      <c r="G51">
        <v>2</v>
      </c>
      <c r="H51">
        <v>0</v>
      </c>
      <c r="I51">
        <v>2</v>
      </c>
      <c r="J51">
        <v>3</v>
      </c>
    </row>
    <row r="52" spans="1:10" x14ac:dyDescent="0.25">
      <c r="A52" t="s">
        <v>63</v>
      </c>
      <c r="B52" t="s">
        <v>12</v>
      </c>
      <c r="C52">
        <f t="shared" si="0"/>
        <v>9</v>
      </c>
      <c r="D52">
        <v>1</v>
      </c>
      <c r="E52">
        <v>1</v>
      </c>
      <c r="F52">
        <v>1</v>
      </c>
      <c r="G52">
        <v>1</v>
      </c>
      <c r="H52">
        <v>0</v>
      </c>
      <c r="I52">
        <v>3</v>
      </c>
      <c r="J52">
        <v>2</v>
      </c>
    </row>
    <row r="53" spans="1:10" x14ac:dyDescent="0.25">
      <c r="A53" t="s">
        <v>64</v>
      </c>
      <c r="B53" t="s">
        <v>12</v>
      </c>
      <c r="C53">
        <f t="shared" si="0"/>
        <v>8</v>
      </c>
      <c r="D53">
        <v>1</v>
      </c>
      <c r="E53">
        <v>0</v>
      </c>
      <c r="F53">
        <v>1</v>
      </c>
      <c r="G53">
        <v>2</v>
      </c>
      <c r="H53">
        <v>1</v>
      </c>
      <c r="I53">
        <v>0</v>
      </c>
      <c r="J53">
        <v>3</v>
      </c>
    </row>
    <row r="54" spans="1:10" x14ac:dyDescent="0.25">
      <c r="A54" t="s">
        <v>65</v>
      </c>
      <c r="B54" t="s">
        <v>12</v>
      </c>
      <c r="C54">
        <f t="shared" si="0"/>
        <v>9</v>
      </c>
      <c r="D54">
        <v>1</v>
      </c>
      <c r="E54">
        <v>0</v>
      </c>
      <c r="F54">
        <v>0</v>
      </c>
      <c r="G54">
        <v>0</v>
      </c>
      <c r="H54">
        <v>2</v>
      </c>
      <c r="I54">
        <v>3</v>
      </c>
      <c r="J54">
        <v>3</v>
      </c>
    </row>
    <row r="55" spans="1:10" x14ac:dyDescent="0.25">
      <c r="A55" t="s">
        <v>66</v>
      </c>
      <c r="B55" t="s">
        <v>12</v>
      </c>
      <c r="C55">
        <f t="shared" si="0"/>
        <v>11</v>
      </c>
      <c r="D55">
        <v>1</v>
      </c>
      <c r="E55">
        <v>2</v>
      </c>
      <c r="F55">
        <v>0</v>
      </c>
      <c r="G55">
        <v>2</v>
      </c>
      <c r="H55">
        <v>3</v>
      </c>
      <c r="I55">
        <v>1</v>
      </c>
      <c r="J55">
        <v>2</v>
      </c>
    </row>
    <row r="56" spans="1:10" x14ac:dyDescent="0.25">
      <c r="A56" t="s">
        <v>67</v>
      </c>
      <c r="B56" t="s">
        <v>12</v>
      </c>
      <c r="C56">
        <f t="shared" si="0"/>
        <v>8</v>
      </c>
      <c r="D56">
        <v>1</v>
      </c>
      <c r="E56">
        <v>2</v>
      </c>
      <c r="F56">
        <v>1</v>
      </c>
      <c r="G56">
        <v>2</v>
      </c>
      <c r="H56">
        <v>0</v>
      </c>
      <c r="I56">
        <v>1</v>
      </c>
      <c r="J56">
        <v>1</v>
      </c>
    </row>
    <row r="57" spans="1:10" x14ac:dyDescent="0.25">
      <c r="A57" t="s">
        <v>68</v>
      </c>
      <c r="B57" t="s">
        <v>12</v>
      </c>
      <c r="C57">
        <f t="shared" si="0"/>
        <v>9</v>
      </c>
      <c r="D57">
        <v>1</v>
      </c>
      <c r="E57">
        <v>2</v>
      </c>
      <c r="F57">
        <v>1</v>
      </c>
      <c r="G57">
        <v>0</v>
      </c>
      <c r="H57">
        <v>3</v>
      </c>
      <c r="I57">
        <v>1</v>
      </c>
      <c r="J57">
        <v>1</v>
      </c>
    </row>
    <row r="58" spans="1:10" x14ac:dyDescent="0.25">
      <c r="A58" t="s">
        <v>69</v>
      </c>
      <c r="B58" t="s">
        <v>12</v>
      </c>
      <c r="C58">
        <f t="shared" si="0"/>
        <v>12</v>
      </c>
      <c r="D58">
        <v>1</v>
      </c>
      <c r="E58">
        <v>2</v>
      </c>
      <c r="F58">
        <v>1</v>
      </c>
      <c r="G58">
        <v>2</v>
      </c>
      <c r="H58">
        <v>3</v>
      </c>
      <c r="I58">
        <v>3</v>
      </c>
      <c r="J58">
        <v>0</v>
      </c>
    </row>
    <row r="59" spans="1:10" x14ac:dyDescent="0.25">
      <c r="A59" t="s">
        <v>70</v>
      </c>
      <c r="B59" t="s">
        <v>12</v>
      </c>
      <c r="C59">
        <f t="shared" si="0"/>
        <v>7</v>
      </c>
      <c r="D59">
        <v>1</v>
      </c>
      <c r="E59">
        <v>2</v>
      </c>
      <c r="F59">
        <v>1</v>
      </c>
      <c r="G59">
        <v>1</v>
      </c>
      <c r="H59">
        <v>0</v>
      </c>
      <c r="I59">
        <v>2</v>
      </c>
      <c r="J59">
        <v>0</v>
      </c>
    </row>
    <row r="60" spans="1:10" x14ac:dyDescent="0.25">
      <c r="A60" t="s">
        <v>71</v>
      </c>
      <c r="B60" t="s">
        <v>12</v>
      </c>
      <c r="C60">
        <f t="shared" si="0"/>
        <v>15</v>
      </c>
      <c r="D60">
        <v>2</v>
      </c>
      <c r="E60">
        <v>2</v>
      </c>
      <c r="F60">
        <v>1</v>
      </c>
      <c r="G60">
        <v>2</v>
      </c>
      <c r="H60">
        <v>3</v>
      </c>
      <c r="I60">
        <v>3</v>
      </c>
      <c r="J60">
        <v>2</v>
      </c>
    </row>
    <row r="61" spans="1:10" x14ac:dyDescent="0.25">
      <c r="A61" t="s">
        <v>72</v>
      </c>
      <c r="B61" t="s">
        <v>12</v>
      </c>
      <c r="C61">
        <f t="shared" si="0"/>
        <v>10</v>
      </c>
      <c r="D61">
        <v>2</v>
      </c>
      <c r="E61">
        <v>0</v>
      </c>
      <c r="F61">
        <v>1</v>
      </c>
      <c r="G61">
        <v>0</v>
      </c>
      <c r="H61">
        <v>2</v>
      </c>
      <c r="I61">
        <v>2</v>
      </c>
      <c r="J61">
        <v>3</v>
      </c>
    </row>
    <row r="62" spans="1:10" x14ac:dyDescent="0.25">
      <c r="A62" t="s">
        <v>73</v>
      </c>
      <c r="B62" t="s">
        <v>12</v>
      </c>
      <c r="C62">
        <f t="shared" si="0"/>
        <v>11</v>
      </c>
      <c r="D62">
        <v>2</v>
      </c>
      <c r="E62">
        <v>0</v>
      </c>
      <c r="F62">
        <v>1</v>
      </c>
      <c r="G62">
        <v>2</v>
      </c>
      <c r="H62">
        <v>1</v>
      </c>
      <c r="I62">
        <v>3</v>
      </c>
      <c r="J62">
        <v>2</v>
      </c>
    </row>
    <row r="63" spans="1:10" x14ac:dyDescent="0.25">
      <c r="A63" t="s">
        <v>74</v>
      </c>
      <c r="B63" t="s">
        <v>12</v>
      </c>
      <c r="C63">
        <f t="shared" si="0"/>
        <v>11</v>
      </c>
      <c r="D63">
        <v>2</v>
      </c>
      <c r="E63">
        <v>1</v>
      </c>
      <c r="F63">
        <v>1</v>
      </c>
      <c r="G63">
        <v>2</v>
      </c>
      <c r="H63">
        <v>0</v>
      </c>
      <c r="I63">
        <v>2</v>
      </c>
      <c r="J63">
        <v>3</v>
      </c>
    </row>
    <row r="64" spans="1:10" x14ac:dyDescent="0.25">
      <c r="A64" t="s">
        <v>75</v>
      </c>
      <c r="B64" t="s">
        <v>12</v>
      </c>
      <c r="C64">
        <f t="shared" si="0"/>
        <v>8</v>
      </c>
      <c r="D64">
        <v>0</v>
      </c>
      <c r="E64">
        <v>0</v>
      </c>
      <c r="F64">
        <v>0</v>
      </c>
      <c r="G64">
        <v>2</v>
      </c>
      <c r="H64">
        <v>1</v>
      </c>
      <c r="I64">
        <v>2</v>
      </c>
      <c r="J64">
        <v>3</v>
      </c>
    </row>
    <row r="65" spans="1:10" x14ac:dyDescent="0.25">
      <c r="A65" t="s">
        <v>76</v>
      </c>
      <c r="B65" t="s">
        <v>12</v>
      </c>
      <c r="C65">
        <f t="shared" si="0"/>
        <v>9</v>
      </c>
      <c r="D65">
        <v>0</v>
      </c>
      <c r="E65">
        <v>0</v>
      </c>
      <c r="F65">
        <v>1</v>
      </c>
      <c r="G65">
        <v>2</v>
      </c>
      <c r="H65">
        <v>0</v>
      </c>
      <c r="I65">
        <v>3</v>
      </c>
      <c r="J65">
        <v>3</v>
      </c>
    </row>
    <row r="66" spans="1:10" x14ac:dyDescent="0.25">
      <c r="A66" t="s">
        <v>77</v>
      </c>
      <c r="B66" t="s">
        <v>12</v>
      </c>
      <c r="C66">
        <f t="shared" si="0"/>
        <v>12</v>
      </c>
      <c r="D66">
        <v>2</v>
      </c>
      <c r="E66">
        <v>2</v>
      </c>
      <c r="F66">
        <v>1</v>
      </c>
      <c r="G66">
        <v>1</v>
      </c>
      <c r="H66">
        <v>1</v>
      </c>
      <c r="I66">
        <v>3</v>
      </c>
      <c r="J66">
        <v>2</v>
      </c>
    </row>
    <row r="67" spans="1:10" x14ac:dyDescent="0.25">
      <c r="A67" t="s">
        <v>78</v>
      </c>
      <c r="B67" t="s">
        <v>12</v>
      </c>
      <c r="C67">
        <f t="shared" ref="C67:C78" si="1">SUM(D67:J67)</f>
        <v>12</v>
      </c>
      <c r="D67">
        <v>2</v>
      </c>
      <c r="E67">
        <v>2</v>
      </c>
      <c r="F67">
        <v>0</v>
      </c>
      <c r="G67">
        <v>1</v>
      </c>
      <c r="H67">
        <v>2</v>
      </c>
      <c r="I67">
        <v>3</v>
      </c>
      <c r="J67">
        <v>2</v>
      </c>
    </row>
    <row r="68" spans="1:10" x14ac:dyDescent="0.25">
      <c r="A68" t="s">
        <v>79</v>
      </c>
      <c r="B68" t="s">
        <v>12</v>
      </c>
      <c r="C68">
        <f t="shared" si="1"/>
        <v>9</v>
      </c>
      <c r="D68">
        <v>0</v>
      </c>
      <c r="E68">
        <v>2</v>
      </c>
      <c r="F68">
        <v>1</v>
      </c>
      <c r="G68">
        <v>2</v>
      </c>
      <c r="H68">
        <v>2</v>
      </c>
      <c r="I68">
        <v>1</v>
      </c>
      <c r="J68">
        <v>1</v>
      </c>
    </row>
    <row r="69" spans="1:10" x14ac:dyDescent="0.25">
      <c r="A69" t="s">
        <v>80</v>
      </c>
      <c r="B69" t="s">
        <v>12</v>
      </c>
      <c r="C69">
        <f t="shared" si="1"/>
        <v>8</v>
      </c>
      <c r="D69">
        <v>0</v>
      </c>
      <c r="E69">
        <v>1</v>
      </c>
      <c r="F69">
        <v>1</v>
      </c>
      <c r="G69">
        <v>1</v>
      </c>
      <c r="H69">
        <v>1</v>
      </c>
      <c r="I69">
        <v>3</v>
      </c>
      <c r="J69">
        <v>1</v>
      </c>
    </row>
    <row r="70" spans="1:10" x14ac:dyDescent="0.25">
      <c r="A70" t="s">
        <v>81</v>
      </c>
      <c r="B70" t="s">
        <v>12</v>
      </c>
      <c r="C70">
        <f t="shared" si="1"/>
        <v>10</v>
      </c>
      <c r="D70">
        <v>1</v>
      </c>
      <c r="E70">
        <v>2</v>
      </c>
      <c r="F70">
        <v>0</v>
      </c>
      <c r="G70">
        <v>0</v>
      </c>
      <c r="H70">
        <v>3</v>
      </c>
      <c r="I70">
        <v>3</v>
      </c>
      <c r="J70">
        <v>1</v>
      </c>
    </row>
    <row r="71" spans="1:10" x14ac:dyDescent="0.25">
      <c r="A71" t="s">
        <v>82</v>
      </c>
      <c r="B71" t="s">
        <v>12</v>
      </c>
      <c r="C71">
        <f t="shared" si="1"/>
        <v>11</v>
      </c>
      <c r="D71">
        <v>1</v>
      </c>
      <c r="E71">
        <v>2</v>
      </c>
      <c r="F71">
        <v>1</v>
      </c>
      <c r="G71">
        <v>2</v>
      </c>
      <c r="H71">
        <v>1</v>
      </c>
      <c r="I71">
        <v>3</v>
      </c>
      <c r="J71">
        <v>1</v>
      </c>
    </row>
    <row r="72" spans="1:10" x14ac:dyDescent="0.25">
      <c r="A72" t="s">
        <v>83</v>
      </c>
      <c r="B72" t="s">
        <v>12</v>
      </c>
      <c r="C72">
        <f t="shared" si="1"/>
        <v>6</v>
      </c>
      <c r="D72">
        <v>0</v>
      </c>
      <c r="E72">
        <v>0</v>
      </c>
      <c r="F72">
        <v>0</v>
      </c>
      <c r="G72">
        <v>0</v>
      </c>
      <c r="H72">
        <v>2</v>
      </c>
      <c r="I72">
        <v>3</v>
      </c>
      <c r="J72">
        <v>1</v>
      </c>
    </row>
    <row r="73" spans="1:10" x14ac:dyDescent="0.25">
      <c r="A73" t="s">
        <v>84</v>
      </c>
      <c r="B73" t="s">
        <v>12</v>
      </c>
      <c r="C73">
        <f t="shared" si="1"/>
        <v>6</v>
      </c>
      <c r="D73">
        <v>2</v>
      </c>
      <c r="E73">
        <v>0</v>
      </c>
      <c r="F73">
        <v>0</v>
      </c>
      <c r="G73">
        <v>0</v>
      </c>
      <c r="H73">
        <v>2</v>
      </c>
      <c r="I73">
        <v>1</v>
      </c>
      <c r="J73">
        <v>1</v>
      </c>
    </row>
    <row r="74" spans="1:10" x14ac:dyDescent="0.25">
      <c r="A74" t="s">
        <v>85</v>
      </c>
      <c r="B74" t="s">
        <v>12</v>
      </c>
      <c r="C74">
        <f t="shared" si="1"/>
        <v>5</v>
      </c>
      <c r="D74">
        <v>1</v>
      </c>
      <c r="E74">
        <v>0</v>
      </c>
      <c r="F74">
        <v>0</v>
      </c>
      <c r="G74">
        <v>2</v>
      </c>
      <c r="H74">
        <v>1</v>
      </c>
      <c r="I74">
        <v>0</v>
      </c>
      <c r="J74">
        <v>1</v>
      </c>
    </row>
    <row r="75" spans="1:10" x14ac:dyDescent="0.25">
      <c r="A75" t="s">
        <v>86</v>
      </c>
      <c r="B75" t="s">
        <v>12</v>
      </c>
      <c r="C75">
        <f t="shared" si="1"/>
        <v>5</v>
      </c>
      <c r="D75">
        <v>0</v>
      </c>
      <c r="E75">
        <v>1</v>
      </c>
      <c r="F75">
        <v>1</v>
      </c>
      <c r="G75">
        <v>1</v>
      </c>
      <c r="H75">
        <v>1</v>
      </c>
      <c r="I75">
        <v>0</v>
      </c>
      <c r="J75">
        <v>1</v>
      </c>
    </row>
    <row r="76" spans="1:10" x14ac:dyDescent="0.25">
      <c r="A76" t="s">
        <v>87</v>
      </c>
      <c r="B76" t="s">
        <v>12</v>
      </c>
      <c r="C76">
        <f t="shared" si="1"/>
        <v>6</v>
      </c>
      <c r="D76">
        <v>0</v>
      </c>
      <c r="E76">
        <v>1</v>
      </c>
      <c r="F76">
        <v>1</v>
      </c>
      <c r="G76">
        <v>0</v>
      </c>
      <c r="H76">
        <v>2</v>
      </c>
      <c r="I76">
        <v>1</v>
      </c>
      <c r="J76">
        <v>1</v>
      </c>
    </row>
    <row r="77" spans="1:10" x14ac:dyDescent="0.25">
      <c r="A77" t="s">
        <v>88</v>
      </c>
      <c r="B77" t="s">
        <v>12</v>
      </c>
      <c r="C77">
        <f t="shared" si="1"/>
        <v>12</v>
      </c>
      <c r="D77">
        <v>0</v>
      </c>
      <c r="E77">
        <v>2</v>
      </c>
      <c r="F77">
        <v>1</v>
      </c>
      <c r="G77">
        <v>1</v>
      </c>
      <c r="H77">
        <v>3</v>
      </c>
      <c r="I77">
        <v>3</v>
      </c>
      <c r="J77">
        <v>2</v>
      </c>
    </row>
    <row r="78" spans="1:10" x14ac:dyDescent="0.25">
      <c r="A78" t="s">
        <v>89</v>
      </c>
      <c r="B78" t="s">
        <v>12</v>
      </c>
      <c r="C78">
        <f t="shared" si="1"/>
        <v>17</v>
      </c>
      <c r="D78">
        <v>2</v>
      </c>
      <c r="E78">
        <v>2</v>
      </c>
      <c r="F78">
        <v>1</v>
      </c>
      <c r="G78">
        <v>2</v>
      </c>
      <c r="H78">
        <v>3</v>
      </c>
      <c r="I78">
        <v>3</v>
      </c>
      <c r="J78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Obliczenia</vt:lpstr>
      <vt:lpstr>Boxplot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cp:lastModifiedBy>Marta  Mucha - Balcerek</cp:lastModifiedBy>
  <dcterms:created xsi:type="dcterms:W3CDTF">2025-01-14T22:01:51Z</dcterms:created>
  <dcterms:modified xsi:type="dcterms:W3CDTF">2026-02-16T09:21:37Z</dcterms:modified>
</cp:coreProperties>
</file>