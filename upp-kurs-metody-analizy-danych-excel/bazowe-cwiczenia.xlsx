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aMucha-Balcerek\Desktop\Metody Analizy Danych\mmb\"/>
    </mc:Choice>
  </mc:AlternateContent>
  <xr:revisionPtr revIDLastSave="0" documentId="13_ncr:1_{6BFDBB70-A4E8-45AB-BEA7-FC414AC76F90}" xr6:coauthVersionLast="47" xr6:coauthVersionMax="47" xr10:uidLastSave="{00000000-0000-0000-0000-000000000000}"/>
  <bookViews>
    <workbookView xWindow="-120" yWindow="-120" windowWidth="29040" windowHeight="15720" activeTab="2" xr2:uid="{1F65D285-384E-45D7-BD50-CBE0CD55C6B0}"/>
  </bookViews>
  <sheets>
    <sheet name="formatowanie" sheetId="1" r:id="rId1"/>
    <sheet name="tabliczka-mnozenia" sheetId="2" r:id="rId2"/>
    <sheet name="walu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C3" i="3"/>
  <c r="C5" i="3"/>
  <c r="C6" i="3"/>
  <c r="C2" i="3"/>
  <c r="B6" i="3"/>
  <c r="C5" i="2"/>
  <c r="D5" i="2"/>
  <c r="E5" i="2"/>
  <c r="F5" i="2"/>
  <c r="G5" i="2"/>
  <c r="H5" i="2"/>
  <c r="I5" i="2"/>
  <c r="J5" i="2"/>
  <c r="K5" i="2"/>
  <c r="L5" i="2"/>
  <c r="C6" i="2"/>
  <c r="D6" i="2"/>
  <c r="E6" i="2"/>
  <c r="F6" i="2"/>
  <c r="G6" i="2"/>
  <c r="H6" i="2"/>
  <c r="I6" i="2"/>
  <c r="J6" i="2"/>
  <c r="K6" i="2"/>
  <c r="L6" i="2"/>
  <c r="C7" i="2"/>
  <c r="D7" i="2"/>
  <c r="E7" i="2"/>
  <c r="F7" i="2"/>
  <c r="G7" i="2"/>
  <c r="H7" i="2"/>
  <c r="I7" i="2"/>
  <c r="J7" i="2"/>
  <c r="K7" i="2"/>
  <c r="L7" i="2"/>
  <c r="C8" i="2"/>
  <c r="D8" i="2"/>
  <c r="E8" i="2"/>
  <c r="F8" i="2"/>
  <c r="G8" i="2"/>
  <c r="H8" i="2"/>
  <c r="I8" i="2"/>
  <c r="J8" i="2"/>
  <c r="K8" i="2"/>
  <c r="L8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H4" i="2"/>
  <c r="I4" i="2"/>
  <c r="J4" i="2"/>
  <c r="K4" i="2"/>
  <c r="L4" i="2"/>
  <c r="D4" i="2"/>
  <c r="E4" i="2"/>
  <c r="F4" i="2"/>
  <c r="G4" i="2"/>
  <c r="C4" i="2"/>
</calcChain>
</file>

<file path=xl/sharedStrings.xml><?xml version="1.0" encoding="utf-8"?>
<sst xmlns="http://schemas.openxmlformats.org/spreadsheetml/2006/main" count="21" uniqueCount="21">
  <si>
    <t>Numer</t>
  </si>
  <si>
    <t>Nazwisko I imię</t>
  </si>
  <si>
    <t>Data wniosku</t>
  </si>
  <si>
    <t>Wpłata</t>
  </si>
  <si>
    <t>Stawka</t>
  </si>
  <si>
    <t>Suseł Janusz</t>
  </si>
  <si>
    <t>Laufer Andrzej</t>
  </si>
  <si>
    <t>Perek Jolanta</t>
  </si>
  <si>
    <t>Brodaty Henryk</t>
  </si>
  <si>
    <t>Kosiaty Waldemar</t>
  </si>
  <si>
    <t>Pawełek Zuzanna</t>
  </si>
  <si>
    <t>Gierek Szymon</t>
  </si>
  <si>
    <t>Usługa</t>
  </si>
  <si>
    <t>Cena w EURO</t>
  </si>
  <si>
    <t>Cena w PLN</t>
  </si>
  <si>
    <t>Nocleg</t>
  </si>
  <si>
    <t>Śniadanie</t>
  </si>
  <si>
    <t>Obiad</t>
  </si>
  <si>
    <t>Kolacja</t>
  </si>
  <si>
    <t>Razem</t>
  </si>
  <si>
    <t>1 EUR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</si>
</sst>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15]d\ mmmm\ yyyy;@"/>
    <numFmt numFmtId="165" formatCode="#,##0.00\ [$Kč-405]"/>
    <numFmt numFmtId="166" formatCode="0.0%"/>
    <numFmt numFmtId="167" formatCode="#,##0.00\ [$€-1]"/>
    <numFmt numFmtId="168" formatCode="#,##0.00\ &quot;zł&quot;"/>
    <numFmt numFmtId="169" formatCode="#,##0.0000\ &quot;zł&quot;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Times New Roman"/>
      <family val="1"/>
      <charset val="238"/>
    </font>
    <font>
      <sz val="11"/>
      <color rgb="FF00B0F0"/>
      <name val="Times New Roman"/>
      <family val="1"/>
      <charset val="238"/>
    </font>
    <font>
      <sz val="11"/>
      <color rgb="FFFF0000"/>
      <name val="Times New Roman"/>
      <family val="1"/>
      <charset val="238"/>
    </font>
    <font>
      <sz val="11"/>
      <color theme="5" tint="-0.499984740745262"/>
      <name val="Times New Roman"/>
      <family val="1"/>
      <charset val="238"/>
    </font>
    <font>
      <sz val="11"/>
      <color rgb="FF00B050"/>
      <name val="Times New Roman"/>
      <family val="1"/>
      <charset val="238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6" fillId="0" borderId="0" xfId="0" applyFont="1"/>
    <xf numFmtId="0" fontId="0" fillId="0" borderId="1" xfId="0" applyBorder="1"/>
    <xf numFmtId="0" fontId="0" fillId="2" borderId="1" xfId="0" applyFill="1" applyBorder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right"/>
    </xf>
    <xf numFmtId="169" fontId="6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8C33-084E-411E-B6DB-451246BF8581}">
  <dimension ref="A1:E8"/>
  <sheetViews>
    <sheetView workbookViewId="0">
      <selection activeCell="G11" sqref="G11"/>
    </sheetView>
  </sheetViews>
  <sheetFormatPr defaultRowHeight="15" x14ac:dyDescent="0.25"/>
  <cols>
    <col min="2" max="2" width="18.28515625" customWidth="1"/>
    <col min="3" max="3" width="14.85546875" bestFit="1" customWidth="1"/>
    <col min="4" max="4" width="12.140625" bestFit="1" customWidth="1"/>
  </cols>
  <sheetData>
    <row r="1" spans="1:5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1">
        <v>1</v>
      </c>
      <c r="B2" s="2" t="s">
        <v>5</v>
      </c>
      <c r="C2" s="3">
        <v>44350</v>
      </c>
      <c r="D2" s="4">
        <v>2340</v>
      </c>
      <c r="E2" s="5">
        <v>0.18</v>
      </c>
    </row>
    <row r="3" spans="1:5" x14ac:dyDescent="0.25">
      <c r="A3" s="1">
        <v>2</v>
      </c>
      <c r="B3" s="2" t="s">
        <v>6</v>
      </c>
      <c r="C3" s="3">
        <v>39936</v>
      </c>
      <c r="D3" s="4">
        <v>256.52</v>
      </c>
      <c r="E3" s="5">
        <v>5.5E-2</v>
      </c>
    </row>
    <row r="4" spans="1:5" x14ac:dyDescent="0.25">
      <c r="A4" s="1">
        <v>3</v>
      </c>
      <c r="B4" s="2" t="s">
        <v>7</v>
      </c>
      <c r="C4" s="3">
        <v>41428</v>
      </c>
      <c r="D4" s="4">
        <v>1890.63</v>
      </c>
      <c r="E4" s="5">
        <v>7.0000000000000007E-2</v>
      </c>
    </row>
    <row r="5" spans="1:5" x14ac:dyDescent="0.25">
      <c r="A5" s="1">
        <v>4</v>
      </c>
      <c r="B5" s="2" t="s">
        <v>8</v>
      </c>
      <c r="C5" s="3">
        <v>40758</v>
      </c>
      <c r="D5" s="4">
        <v>119.6</v>
      </c>
      <c r="E5" s="5">
        <v>0.123</v>
      </c>
    </row>
    <row r="6" spans="1:5" x14ac:dyDescent="0.25">
      <c r="A6" s="1">
        <v>5</v>
      </c>
      <c r="B6" s="2" t="s">
        <v>9</v>
      </c>
      <c r="C6" s="3">
        <v>38963</v>
      </c>
      <c r="D6" s="4">
        <v>11890</v>
      </c>
      <c r="E6" s="5">
        <v>0.27</v>
      </c>
    </row>
    <row r="7" spans="1:5" x14ac:dyDescent="0.25">
      <c r="A7" s="1">
        <v>6</v>
      </c>
      <c r="B7" s="2" t="s">
        <v>10</v>
      </c>
      <c r="C7" s="3">
        <v>46268</v>
      </c>
      <c r="D7" s="4">
        <v>3467.12</v>
      </c>
      <c r="E7" s="5">
        <v>0.08</v>
      </c>
    </row>
    <row r="8" spans="1:5" x14ac:dyDescent="0.25">
      <c r="A8" s="1">
        <v>7</v>
      </c>
      <c r="B8" s="2" t="s">
        <v>11</v>
      </c>
      <c r="C8" s="3">
        <v>11265</v>
      </c>
      <c r="D8" s="4">
        <v>7390</v>
      </c>
      <c r="E8" s="5">
        <v>9.5000000000000001E-2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89D18-FE40-4165-BD1C-07809D426089}">
  <dimension ref="B3:L13"/>
  <sheetViews>
    <sheetView workbookViewId="0">
      <selection activeCell="C4" sqref="C4"/>
    </sheetView>
  </sheetViews>
  <sheetFormatPr defaultRowHeight="15" x14ac:dyDescent="0.25"/>
  <sheetData>
    <row r="3" spans="2:12" x14ac:dyDescent="0.25">
      <c r="B3" s="7"/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</row>
    <row r="4" spans="2:12" x14ac:dyDescent="0.25">
      <c r="B4" s="8">
        <v>1</v>
      </c>
      <c r="C4" s="7">
        <f>$B4*C$3</f>
        <v>1</v>
      </c>
      <c r="D4" s="7">
        <f t="shared" ref="D4:L13" si="0">$B4*D$3</f>
        <v>2</v>
      </c>
      <c r="E4" s="7">
        <f t="shared" si="0"/>
        <v>3</v>
      </c>
      <c r="F4" s="7">
        <f t="shared" si="0"/>
        <v>4</v>
      </c>
      <c r="G4" s="7">
        <f t="shared" si="0"/>
        <v>5</v>
      </c>
      <c r="H4" s="7">
        <f>$B4*H$3</f>
        <v>6</v>
      </c>
      <c r="I4" s="7">
        <f t="shared" si="0"/>
        <v>7</v>
      </c>
      <c r="J4" s="7">
        <f t="shared" si="0"/>
        <v>8</v>
      </c>
      <c r="K4" s="7">
        <f t="shared" si="0"/>
        <v>9</v>
      </c>
      <c r="L4" s="7">
        <f t="shared" si="0"/>
        <v>10</v>
      </c>
    </row>
    <row r="5" spans="2:12" x14ac:dyDescent="0.25">
      <c r="B5" s="8">
        <v>2</v>
      </c>
      <c r="C5" s="7">
        <f t="shared" ref="C5:C13" si="1">$B5*C$3</f>
        <v>2</v>
      </c>
      <c r="D5" s="7">
        <f t="shared" si="0"/>
        <v>4</v>
      </c>
      <c r="E5" s="7">
        <f t="shared" si="0"/>
        <v>6</v>
      </c>
      <c r="F5" s="7">
        <f t="shared" si="0"/>
        <v>8</v>
      </c>
      <c r="G5" s="7">
        <f t="shared" si="0"/>
        <v>10</v>
      </c>
      <c r="H5" s="7">
        <f t="shared" si="0"/>
        <v>12</v>
      </c>
      <c r="I5" s="7">
        <f t="shared" si="0"/>
        <v>14</v>
      </c>
      <c r="J5" s="7">
        <f t="shared" si="0"/>
        <v>16</v>
      </c>
      <c r="K5" s="7">
        <f t="shared" si="0"/>
        <v>18</v>
      </c>
      <c r="L5" s="7">
        <f t="shared" si="0"/>
        <v>20</v>
      </c>
    </row>
    <row r="6" spans="2:12" x14ac:dyDescent="0.25">
      <c r="B6" s="8">
        <v>3</v>
      </c>
      <c r="C6" s="7">
        <f t="shared" si="1"/>
        <v>3</v>
      </c>
      <c r="D6" s="7">
        <f t="shared" si="0"/>
        <v>6</v>
      </c>
      <c r="E6" s="7">
        <f t="shared" si="0"/>
        <v>9</v>
      </c>
      <c r="F6" s="7">
        <f t="shared" si="0"/>
        <v>12</v>
      </c>
      <c r="G6" s="7">
        <f t="shared" si="0"/>
        <v>15</v>
      </c>
      <c r="H6" s="7">
        <f t="shared" si="0"/>
        <v>18</v>
      </c>
      <c r="I6" s="7">
        <f t="shared" si="0"/>
        <v>21</v>
      </c>
      <c r="J6" s="7">
        <f t="shared" si="0"/>
        <v>24</v>
      </c>
      <c r="K6" s="7">
        <f t="shared" si="0"/>
        <v>27</v>
      </c>
      <c r="L6" s="7">
        <f t="shared" si="0"/>
        <v>30</v>
      </c>
    </row>
    <row r="7" spans="2:12" x14ac:dyDescent="0.25">
      <c r="B7" s="8">
        <v>4</v>
      </c>
      <c r="C7" s="7">
        <f t="shared" si="1"/>
        <v>4</v>
      </c>
      <c r="D7" s="7">
        <f t="shared" si="0"/>
        <v>8</v>
      </c>
      <c r="E7" s="7">
        <f t="shared" si="0"/>
        <v>12</v>
      </c>
      <c r="F7" s="7">
        <f t="shared" si="0"/>
        <v>16</v>
      </c>
      <c r="G7" s="7">
        <f t="shared" si="0"/>
        <v>20</v>
      </c>
      <c r="H7" s="7">
        <f t="shared" si="0"/>
        <v>24</v>
      </c>
      <c r="I7" s="7">
        <f t="shared" si="0"/>
        <v>28</v>
      </c>
      <c r="J7" s="7">
        <f t="shared" si="0"/>
        <v>32</v>
      </c>
      <c r="K7" s="7">
        <f t="shared" si="0"/>
        <v>36</v>
      </c>
      <c r="L7" s="7">
        <f t="shared" si="0"/>
        <v>40</v>
      </c>
    </row>
    <row r="8" spans="2:12" x14ac:dyDescent="0.25">
      <c r="B8" s="8">
        <v>5</v>
      </c>
      <c r="C8" s="7">
        <f t="shared" si="1"/>
        <v>5</v>
      </c>
      <c r="D8" s="7">
        <f t="shared" si="0"/>
        <v>10</v>
      </c>
      <c r="E8" s="7">
        <f t="shared" si="0"/>
        <v>15</v>
      </c>
      <c r="F8" s="7">
        <f t="shared" si="0"/>
        <v>20</v>
      </c>
      <c r="G8" s="7">
        <f t="shared" si="0"/>
        <v>25</v>
      </c>
      <c r="H8" s="7">
        <f t="shared" si="0"/>
        <v>30</v>
      </c>
      <c r="I8" s="7">
        <f t="shared" si="0"/>
        <v>35</v>
      </c>
      <c r="J8" s="7">
        <f t="shared" si="0"/>
        <v>40</v>
      </c>
      <c r="K8" s="7">
        <f t="shared" si="0"/>
        <v>45</v>
      </c>
      <c r="L8" s="7">
        <f t="shared" si="0"/>
        <v>50</v>
      </c>
    </row>
    <row r="9" spans="2:12" x14ac:dyDescent="0.25">
      <c r="B9" s="8">
        <v>6</v>
      </c>
      <c r="C9" s="7">
        <f t="shared" si="1"/>
        <v>6</v>
      </c>
      <c r="D9" s="7">
        <f t="shared" si="0"/>
        <v>12</v>
      </c>
      <c r="E9" s="7">
        <f t="shared" si="0"/>
        <v>18</v>
      </c>
      <c r="F9" s="7">
        <f t="shared" si="0"/>
        <v>24</v>
      </c>
      <c r="G9" s="7">
        <f t="shared" si="0"/>
        <v>30</v>
      </c>
      <c r="H9" s="7">
        <f t="shared" si="0"/>
        <v>36</v>
      </c>
      <c r="I9" s="7">
        <f t="shared" si="0"/>
        <v>42</v>
      </c>
      <c r="J9" s="7">
        <f t="shared" si="0"/>
        <v>48</v>
      </c>
      <c r="K9" s="7">
        <f t="shared" si="0"/>
        <v>54</v>
      </c>
      <c r="L9" s="7">
        <f t="shared" si="0"/>
        <v>60</v>
      </c>
    </row>
    <row r="10" spans="2:12" x14ac:dyDescent="0.25">
      <c r="B10" s="8">
        <v>7</v>
      </c>
      <c r="C10" s="7">
        <f t="shared" si="1"/>
        <v>7</v>
      </c>
      <c r="D10" s="7">
        <f t="shared" si="0"/>
        <v>14</v>
      </c>
      <c r="E10" s="7">
        <f t="shared" si="0"/>
        <v>21</v>
      </c>
      <c r="F10" s="7">
        <f t="shared" si="0"/>
        <v>28</v>
      </c>
      <c r="G10" s="7">
        <f t="shared" si="0"/>
        <v>35</v>
      </c>
      <c r="H10" s="7">
        <f t="shared" si="0"/>
        <v>42</v>
      </c>
      <c r="I10" s="7">
        <f t="shared" si="0"/>
        <v>49</v>
      </c>
      <c r="J10" s="7">
        <f t="shared" si="0"/>
        <v>56</v>
      </c>
      <c r="K10" s="7">
        <f t="shared" si="0"/>
        <v>63</v>
      </c>
      <c r="L10" s="7">
        <f t="shared" si="0"/>
        <v>70</v>
      </c>
    </row>
    <row r="11" spans="2:12" x14ac:dyDescent="0.25">
      <c r="B11" s="8">
        <v>8</v>
      </c>
      <c r="C11" s="7">
        <f t="shared" si="1"/>
        <v>8</v>
      </c>
      <c r="D11" s="7">
        <f t="shared" si="0"/>
        <v>16</v>
      </c>
      <c r="E11" s="7">
        <f t="shared" si="0"/>
        <v>24</v>
      </c>
      <c r="F11" s="7">
        <f t="shared" si="0"/>
        <v>32</v>
      </c>
      <c r="G11" s="7">
        <f t="shared" si="0"/>
        <v>40</v>
      </c>
      <c r="H11" s="7">
        <f t="shared" si="0"/>
        <v>48</v>
      </c>
      <c r="I11" s="7">
        <f t="shared" si="0"/>
        <v>56</v>
      </c>
      <c r="J11" s="7">
        <f t="shared" si="0"/>
        <v>64</v>
      </c>
      <c r="K11" s="7">
        <f t="shared" si="0"/>
        <v>72</v>
      </c>
      <c r="L11" s="7">
        <f t="shared" si="0"/>
        <v>80</v>
      </c>
    </row>
    <row r="12" spans="2:12" x14ac:dyDescent="0.25">
      <c r="B12" s="8">
        <v>9</v>
      </c>
      <c r="C12" s="7">
        <f t="shared" si="1"/>
        <v>9</v>
      </c>
      <c r="D12" s="7">
        <f t="shared" si="0"/>
        <v>18</v>
      </c>
      <c r="E12" s="7">
        <f t="shared" si="0"/>
        <v>27</v>
      </c>
      <c r="F12" s="7">
        <f t="shared" si="0"/>
        <v>36</v>
      </c>
      <c r="G12" s="7">
        <f t="shared" si="0"/>
        <v>45</v>
      </c>
      <c r="H12" s="7">
        <f t="shared" si="0"/>
        <v>54</v>
      </c>
      <c r="I12" s="7">
        <f t="shared" si="0"/>
        <v>63</v>
      </c>
      <c r="J12" s="7">
        <f t="shared" si="0"/>
        <v>72</v>
      </c>
      <c r="K12" s="7">
        <f t="shared" si="0"/>
        <v>81</v>
      </c>
      <c r="L12" s="7">
        <f t="shared" si="0"/>
        <v>90</v>
      </c>
    </row>
    <row r="13" spans="2:12" x14ac:dyDescent="0.25">
      <c r="B13" s="8">
        <v>10</v>
      </c>
      <c r="C13" s="7">
        <f t="shared" si="1"/>
        <v>10</v>
      </c>
      <c r="D13" s="7">
        <f t="shared" si="0"/>
        <v>20</v>
      </c>
      <c r="E13" s="7">
        <f t="shared" si="0"/>
        <v>30</v>
      </c>
      <c r="F13" s="7">
        <f t="shared" si="0"/>
        <v>40</v>
      </c>
      <c r="G13" s="7">
        <f t="shared" si="0"/>
        <v>50</v>
      </c>
      <c r="H13" s="7">
        <f t="shared" si="0"/>
        <v>60</v>
      </c>
      <c r="I13" s="7">
        <f t="shared" si="0"/>
        <v>70</v>
      </c>
      <c r="J13" s="7">
        <f t="shared" si="0"/>
        <v>80</v>
      </c>
      <c r="K13" s="7">
        <f t="shared" si="0"/>
        <v>90</v>
      </c>
      <c r="L13" s="7">
        <f t="shared" si="0"/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2E82-81A8-4D14-A78D-666517D889DB}">
  <dimension ref="A1:F6"/>
  <sheetViews>
    <sheetView tabSelected="1" workbookViewId="0">
      <selection activeCell="D4" sqref="D4"/>
    </sheetView>
  </sheetViews>
  <sheetFormatPr defaultRowHeight="15" x14ac:dyDescent="0.25"/>
  <cols>
    <col min="2" max="2" width="13.5703125" customWidth="1"/>
    <col min="3" max="3" width="13.28515625" customWidth="1"/>
  </cols>
  <sheetData>
    <row r="1" spans="1:6" x14ac:dyDescent="0.25">
      <c r="A1" s="6" t="s">
        <v>12</v>
      </c>
      <c r="B1" s="6" t="s">
        <v>13</v>
      </c>
      <c r="C1" s="6" t="s">
        <v>14</v>
      </c>
      <c r="E1" s="11" t="s">
        <v>20</v>
      </c>
      <c r="F1" s="12">
        <v>4.6661999999999999</v>
      </c>
    </row>
    <row r="2" spans="1:6" x14ac:dyDescent="0.25">
      <c r="A2" t="s">
        <v>15</v>
      </c>
      <c r="B2" s="9">
        <v>60</v>
      </c>
      <c r="C2" s="10">
        <f>B2*$F$1</f>
        <v>279.97199999999998</v>
      </c>
    </row>
    <row r="3" spans="1:6" x14ac:dyDescent="0.25">
      <c r="A3" t="s">
        <v>16</v>
      </c>
      <c r="B3" s="9">
        <v>8</v>
      </c>
      <c r="C3" s="10">
        <f t="shared" ref="C3:C6" si="0">B3*$F$1</f>
        <v>37.329599999999999</v>
      </c>
    </row>
    <row r="4" spans="1:6" x14ac:dyDescent="0.25">
      <c r="A4" t="s">
        <v>17</v>
      </c>
      <c r="B4" s="9">
        <v>23</v>
      </c>
      <c r="C4" s="10">
        <f>B4*$F$1</f>
        <v>107.32259999999999</v>
      </c>
    </row>
    <row r="5" spans="1:6" x14ac:dyDescent="0.25">
      <c r="A5" t="s">
        <v>18</v>
      </c>
      <c r="B5" s="9">
        <v>12</v>
      </c>
      <c r="C5" s="10">
        <f t="shared" si="0"/>
        <v>55.994399999999999</v>
      </c>
    </row>
    <row r="6" spans="1:6" x14ac:dyDescent="0.25">
      <c r="A6" s="6" t="s">
        <v>19</v>
      </c>
      <c r="B6" s="13">
        <f>SUM(B2:B5)</f>
        <v>103</v>
      </c>
      <c r="C6" s="14">
        <f t="shared" si="0"/>
        <v>480.61860000000001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formatowanie</vt:lpstr>
      <vt:lpstr>tabliczka-mnozenia</vt:lpstr>
      <vt:lpstr>waluty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 Mucha - Balcerek</dc:creator>
  <cp:lastModifiedBy>Marta  Mucha - Balcerek</cp:lastModifiedBy>
  <dcterms:created xsi:type="dcterms:W3CDTF">2026-02-09T10:09:28Z</dcterms:created>
  <dcterms:modified xsi:type="dcterms:W3CDTF">2026-02-09T11:09:31Z</dcterms:modified>
</cp:coreProperties>
</file>