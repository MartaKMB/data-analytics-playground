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Mucha-Balcerek\Desktop\Metody Analizy Danych\"/>
    </mc:Choice>
  </mc:AlternateContent>
  <xr:revisionPtr revIDLastSave="0" documentId="13_ncr:1_{5EA5F140-572C-416E-B747-EB7DDF334A8B}" xr6:coauthVersionLast="47" xr6:coauthVersionMax="47" xr10:uidLastSave="{00000000-0000-0000-0000-000000000000}"/>
  <bookViews>
    <workbookView xWindow="-120" yWindow="-120" windowWidth="29040" windowHeight="15720" activeTab="1" xr2:uid="{CC6DB815-939D-46CE-908B-F14C9A9BFCAB}"/>
  </bookViews>
  <sheets>
    <sheet name="KLASA A" sheetId="1" r:id="rId1"/>
    <sheet name="KLASA B" sheetId="2" r:id="rId2"/>
    <sheet name="KLASA C" sheetId="3" r:id="rId3"/>
    <sheet name="KLASA D" sheetId="4" r:id="rId4"/>
    <sheet name="KLASA E" sheetId="5" r:id="rId5"/>
    <sheet name="KLASA F" sheetId="6" r:id="rId6"/>
    <sheet name="SZKOŁ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6" i="2" l="1"/>
  <c r="F55" i="2"/>
  <c r="F54" i="2"/>
  <c r="F52" i="2"/>
  <c r="M47" i="2"/>
  <c r="N47" i="2"/>
  <c r="O47" i="2"/>
  <c r="P47" i="2"/>
  <c r="L47" i="2"/>
  <c r="H47" i="2"/>
  <c r="I47" i="2"/>
  <c r="J47" i="2"/>
  <c r="K47" i="2"/>
  <c r="G47" i="2"/>
  <c r="G47" i="1"/>
  <c r="C47" i="2"/>
  <c r="D47" i="2"/>
  <c r="E47" i="2"/>
  <c r="F47" i="2"/>
  <c r="B47" i="2"/>
  <c r="B47" i="1"/>
  <c r="C38" i="2" a="1"/>
  <c r="C38" i="2"/>
  <c r="D38" i="2" a="1"/>
  <c r="D38" i="2" s="1"/>
  <c r="E38" i="2" a="1"/>
  <c r="E38" i="2"/>
  <c r="F38" i="2" a="1"/>
  <c r="F38" i="2"/>
  <c r="G38" i="2" a="1"/>
  <c r="G38" i="2"/>
  <c r="H38" i="2" a="1"/>
  <c r="H38" i="2"/>
  <c r="I38" i="2" a="1"/>
  <c r="I38" i="2"/>
  <c r="J38" i="2" a="1"/>
  <c r="J38" i="2" s="1"/>
  <c r="K38" i="2" a="1"/>
  <c r="K38" i="2"/>
  <c r="L38" i="2" a="1"/>
  <c r="L38" i="2"/>
  <c r="M38" i="2" a="1"/>
  <c r="M38" i="2" s="1"/>
  <c r="N38" i="2" a="1"/>
  <c r="N38" i="2"/>
  <c r="O38" i="2" a="1"/>
  <c r="O38" i="2"/>
  <c r="P38" i="2" a="1"/>
  <c r="P38" i="2" s="1"/>
  <c r="Q38" i="2" a="1"/>
  <c r="Q38" i="2"/>
  <c r="R38" i="2" a="1"/>
  <c r="R38" i="2"/>
  <c r="S38" i="2" a="1"/>
  <c r="S38" i="2"/>
  <c r="T38" i="2" a="1"/>
  <c r="T38" i="2"/>
  <c r="U38" i="2" a="1"/>
  <c r="U38" i="2"/>
  <c r="V38" i="2" a="1"/>
  <c r="V38" i="2" s="1"/>
  <c r="W38" i="2" a="1"/>
  <c r="W38" i="2"/>
  <c r="X38" i="2" a="1"/>
  <c r="X38" i="2"/>
  <c r="Y38" i="2" a="1"/>
  <c r="Y38" i="2"/>
  <c r="Z38" i="2" a="1"/>
  <c r="Z38" i="2"/>
  <c r="AA38" i="2" a="1"/>
  <c r="AA38" i="2"/>
  <c r="AB38" i="2" a="1"/>
  <c r="AB38" i="2" s="1"/>
  <c r="B38" i="2" a="1"/>
  <c r="B38" i="2" s="1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B37" i="2"/>
  <c r="D37" i="1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B36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B35" i="2"/>
  <c r="AC7" i="2"/>
  <c r="AD7" i="2" s="1"/>
  <c r="AC8" i="2"/>
  <c r="B37" i="8" s="1"/>
  <c r="AD8" i="2"/>
  <c r="AC9" i="2"/>
  <c r="AD9" i="2"/>
  <c r="AC10" i="2"/>
  <c r="AD10" i="2"/>
  <c r="AC11" i="2"/>
  <c r="AD11" i="2"/>
  <c r="AC12" i="2"/>
  <c r="AD12" i="2"/>
  <c r="AC13" i="2"/>
  <c r="AD13" i="2" s="1"/>
  <c r="AC14" i="2"/>
  <c r="AD14" i="2"/>
  <c r="AC15" i="2"/>
  <c r="AD15" i="2"/>
  <c r="AC16" i="2"/>
  <c r="AD16" i="2"/>
  <c r="AC17" i="2"/>
  <c r="AD17" i="2"/>
  <c r="AC18" i="2"/>
  <c r="B47" i="8" s="1"/>
  <c r="AD18" i="2"/>
  <c r="AC19" i="2"/>
  <c r="AD19" i="2" s="1"/>
  <c r="AC20" i="2"/>
  <c r="B49" i="8" s="1"/>
  <c r="AD20" i="2"/>
  <c r="AC21" i="2"/>
  <c r="AD21" i="2"/>
  <c r="AC22" i="2"/>
  <c r="AD22" i="2"/>
  <c r="AC23" i="2"/>
  <c r="AD23" i="2"/>
  <c r="AC24" i="2"/>
  <c r="AD24" i="2"/>
  <c r="AC25" i="2"/>
  <c r="AD25" i="2" s="1"/>
  <c r="AC26" i="2"/>
  <c r="AD26" i="2"/>
  <c r="AC27" i="2"/>
  <c r="AD27" i="2"/>
  <c r="AC28" i="2"/>
  <c r="AD28" i="2"/>
  <c r="AC29" i="2"/>
  <c r="AD29" i="2"/>
  <c r="AC30" i="2"/>
  <c r="B59" i="8" s="1"/>
  <c r="AD30" i="2"/>
  <c r="AC31" i="2"/>
  <c r="AD31" i="2" s="1"/>
  <c r="AD6" i="2"/>
  <c r="AC6" i="2"/>
  <c r="B35" i="8" s="1"/>
  <c r="F53" i="1"/>
  <c r="F60" i="1"/>
  <c r="F59" i="1"/>
  <c r="F58" i="1"/>
  <c r="F56" i="1"/>
  <c r="F57" i="1"/>
  <c r="F55" i="1"/>
  <c r="F54" i="1"/>
  <c r="F52" i="1"/>
  <c r="M47" i="1"/>
  <c r="N47" i="1"/>
  <c r="O47" i="1"/>
  <c r="P47" i="1"/>
  <c r="H47" i="1"/>
  <c r="I47" i="1"/>
  <c r="J47" i="1"/>
  <c r="K47" i="1"/>
  <c r="C47" i="1"/>
  <c r="D47" i="1"/>
  <c r="E47" i="1"/>
  <c r="F47" i="1"/>
  <c r="C38" i="1" a="1"/>
  <c r="C38" i="1"/>
  <c r="D38" i="1" a="1"/>
  <c r="D38" i="1"/>
  <c r="E38" i="1" a="1"/>
  <c r="E38" i="1"/>
  <c r="F38" i="1" a="1"/>
  <c r="F38" i="1"/>
  <c r="G38" i="1" a="1"/>
  <c r="G38" i="1"/>
  <c r="H38" i="1" a="1"/>
  <c r="H38" i="1"/>
  <c r="I38" i="1" a="1"/>
  <c r="I38" i="1"/>
  <c r="J38" i="1" a="1"/>
  <c r="J38" i="1"/>
  <c r="K38" i="1" a="1"/>
  <c r="K38" i="1"/>
  <c r="L38" i="1" a="1"/>
  <c r="L38" i="1"/>
  <c r="M38" i="1" a="1"/>
  <c r="M38" i="1"/>
  <c r="N38" i="1" a="1"/>
  <c r="N38" i="1"/>
  <c r="O38" i="1" a="1"/>
  <c r="O38" i="1" s="1"/>
  <c r="P38" i="1" a="1"/>
  <c r="P38" i="1"/>
  <c r="Q38" i="1" a="1"/>
  <c r="Q38" i="1"/>
  <c r="R38" i="1" a="1"/>
  <c r="R38" i="1"/>
  <c r="S38" i="1" a="1"/>
  <c r="S38" i="1"/>
  <c r="T38" i="1" a="1"/>
  <c r="T38" i="1"/>
  <c r="U38" i="1" a="1"/>
  <c r="U38" i="1"/>
  <c r="V38" i="1" a="1"/>
  <c r="V38" i="1"/>
  <c r="W38" i="1" a="1"/>
  <c r="W38" i="1"/>
  <c r="X38" i="1" a="1"/>
  <c r="X38" i="1"/>
  <c r="Y38" i="1" a="1"/>
  <c r="Y38" i="1"/>
  <c r="Z38" i="1" a="1"/>
  <c r="Z38" i="1"/>
  <c r="AA38" i="1" a="1"/>
  <c r="AA38" i="1"/>
  <c r="AB38" i="1" a="1"/>
  <c r="AB38" i="1"/>
  <c r="B38" i="1" a="1"/>
  <c r="B38" i="1" s="1"/>
  <c r="C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B37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B35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6" i="1"/>
  <c r="AC7" i="1"/>
  <c r="AC8" i="1"/>
  <c r="AC9" i="1"/>
  <c r="AC10" i="1"/>
  <c r="B7" i="8" s="1"/>
  <c r="AC11" i="1"/>
  <c r="AC12" i="1"/>
  <c r="AC13" i="1"/>
  <c r="AC14" i="1"/>
  <c r="AC15" i="1"/>
  <c r="AC16" i="1"/>
  <c r="AC17" i="1"/>
  <c r="AC18" i="1"/>
  <c r="B15" i="8" s="1"/>
  <c r="AC19" i="1"/>
  <c r="AC20" i="1"/>
  <c r="AC21" i="1"/>
  <c r="AC22" i="1"/>
  <c r="B19" i="8" s="1"/>
  <c r="AC23" i="1"/>
  <c r="AC24" i="1"/>
  <c r="AC25" i="1"/>
  <c r="AC26" i="1"/>
  <c r="AC27" i="1"/>
  <c r="AC28" i="1"/>
  <c r="AC29" i="1"/>
  <c r="AC30" i="1"/>
  <c r="B27" i="8" s="1"/>
  <c r="AC6" i="1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63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31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99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67" i="8"/>
  <c r="B38" i="8"/>
  <c r="B39" i="8"/>
  <c r="B40" i="8"/>
  <c r="B41" i="8"/>
  <c r="B43" i="8"/>
  <c r="B44" i="8"/>
  <c r="B45" i="8"/>
  <c r="B46" i="8"/>
  <c r="B50" i="8"/>
  <c r="B51" i="8"/>
  <c r="B52" i="8"/>
  <c r="B53" i="8"/>
  <c r="B55" i="8"/>
  <c r="B56" i="8"/>
  <c r="B57" i="8"/>
  <c r="B58" i="8"/>
  <c r="B4" i="8"/>
  <c r="B5" i="8"/>
  <c r="B6" i="8"/>
  <c r="B8" i="8"/>
  <c r="B9" i="8"/>
  <c r="B10" i="8"/>
  <c r="B12" i="8"/>
  <c r="B14" i="8"/>
  <c r="B16" i="8"/>
  <c r="B17" i="8"/>
  <c r="B18" i="8"/>
  <c r="B20" i="8"/>
  <c r="B21" i="8"/>
  <c r="B22" i="8"/>
  <c r="B24" i="8"/>
  <c r="B26" i="8"/>
  <c r="B3" i="8"/>
  <c r="P46" i="6"/>
  <c r="O46" i="6"/>
  <c r="N46" i="6"/>
  <c r="M46" i="6"/>
  <c r="L46" i="6"/>
  <c r="K46" i="6"/>
  <c r="J46" i="6"/>
  <c r="I46" i="6"/>
  <c r="H46" i="6"/>
  <c r="G46" i="6"/>
  <c r="P46" i="5"/>
  <c r="O46" i="5"/>
  <c r="N46" i="5"/>
  <c r="M46" i="5"/>
  <c r="L46" i="5"/>
  <c r="K46" i="5"/>
  <c r="J46" i="5"/>
  <c r="I46" i="5"/>
  <c r="H46" i="5"/>
  <c r="G46" i="5"/>
  <c r="P46" i="4"/>
  <c r="O46" i="4"/>
  <c r="N46" i="4"/>
  <c r="M46" i="4"/>
  <c r="L46" i="4"/>
  <c r="K46" i="4"/>
  <c r="J46" i="4"/>
  <c r="I46" i="4"/>
  <c r="H46" i="4"/>
  <c r="G46" i="4"/>
  <c r="P46" i="3"/>
  <c r="O46" i="3"/>
  <c r="N46" i="3"/>
  <c r="M46" i="3"/>
  <c r="L46" i="3"/>
  <c r="K46" i="3"/>
  <c r="J46" i="3"/>
  <c r="I46" i="3"/>
  <c r="H46" i="3"/>
  <c r="G46" i="3"/>
  <c r="P46" i="1"/>
  <c r="O46" i="1"/>
  <c r="N46" i="1"/>
  <c r="M46" i="1"/>
  <c r="L46" i="1"/>
  <c r="K46" i="1"/>
  <c r="J46" i="1"/>
  <c r="I46" i="1"/>
  <c r="H46" i="1"/>
  <c r="G46" i="1"/>
  <c r="P46" i="2"/>
  <c r="O46" i="2"/>
  <c r="N46" i="2"/>
  <c r="M46" i="2"/>
  <c r="L46" i="2"/>
  <c r="K46" i="2"/>
  <c r="J46" i="2"/>
  <c r="I46" i="2"/>
  <c r="H46" i="2"/>
  <c r="G46" i="2"/>
  <c r="L47" i="1" l="1"/>
  <c r="B54" i="8"/>
  <c r="B42" i="8"/>
  <c r="B48" i="8"/>
  <c r="B36" i="8"/>
  <c r="B60" i="8"/>
  <c r="B13" i="8"/>
  <c r="B25" i="8"/>
  <c r="B23" i="8"/>
  <c r="B11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<sst xmlns="http://schemas.openxmlformats.org/spreadsheetml/2006/main" count="731" uniqueCount="198">
  <si>
    <t>Zadanie</t>
  </si>
  <si>
    <t>21 I</t>
  </si>
  <si>
    <t>21 II</t>
  </si>
  <si>
    <t>22 I</t>
  </si>
  <si>
    <t>22 II</t>
  </si>
  <si>
    <t>Standard</t>
  </si>
  <si>
    <t>I</t>
  </si>
  <si>
    <t>III</t>
  </si>
  <si>
    <t>IV</t>
  </si>
  <si>
    <t>V</t>
  </si>
  <si>
    <t>II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</si>
  <si>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</si>
  <si>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</si>
  <si>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</si>
  <si>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</si>
  <si>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</si>
  <si>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</si>
  <si>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</si>
  <si>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</si>
  <si>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</si>
  <si>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</si>
  <si>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</si>
  <si>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</si>
  <si>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</si>
  <si>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</si>
  <si>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</si>
  <si>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</si>
  <si>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</si>
  <si>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</si>
  <si>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</si>
  <si>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</si>
  <si>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</si>
  <si>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</si>
  <si>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</si>
  <si>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</si>
  <si>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</si>
  <si>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KLASA A</t>
  </si>
  <si>
    <t>KLASA B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</si>
  <si>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</si>
  <si>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</si>
  <si>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</si>
  <si>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</si>
  <si>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</si>
  <si>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</si>
  <si>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</si>
  <si>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</si>
  <si>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</si>
  <si>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</si>
  <si>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</si>
  <si>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</si>
  <si>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</si>
  <si>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</si>
  <si>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</si>
  <si>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</si>
  <si>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</si>
  <si>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</si>
  <si>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</si>
  <si>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</si>
  <si>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</si>
  <si>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</si>
  <si>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</si>
  <si>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</si>
  <si>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</si>
  <si>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</si>
  <si>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KLASA C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</si>
  <si>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</si>
  <si>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</si>
  <si>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</si>
  <si>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</si>
  <si>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</si>
  <si>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</si>
  <si>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</si>
  <si>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</si>
  <si>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</si>
  <si>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</si>
  <si>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</si>
  <si>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</si>
  <si>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</si>
  <si>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</si>
  <si>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</si>
  <si>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</si>
  <si>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</si>
  <si>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</si>
  <si>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</si>
  <si>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</si>
  <si>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</si>
  <si>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</si>
  <si>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</si>
  <si>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</si>
  <si>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</si>
  <si>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</si>
  <si>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</si>
  <si>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KLASA D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</si>
  <si>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</si>
  <si>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</si>
  <si>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</si>
  <si>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</si>
  <si>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</si>
  <si>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</si>
  <si>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</si>
  <si>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</si>
  <si>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</si>
  <si>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</si>
  <si>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</si>
  <si>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</si>
  <si>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</si>
  <si>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</si>
  <si>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</si>
  <si>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</si>
  <si>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</si>
  <si>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</si>
  <si>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</si>
  <si>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</si>
  <si>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</si>
  <si>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</si>
  <si>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</si>
  <si>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</si>
  <si>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</si>
  <si>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KLASA E</t>
  </si>
  <si>
    <t>KLASA F</t>
  </si>
  <si>
    <t>Max liczba punktów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</si>
  <si>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</si>
  <si>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</si>
  <si>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</si>
  <si>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</si>
  <si>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</si>
  <si>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</si>
  <si>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</si>
  <si>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</si>
  <si>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</si>
  <si>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</si>
  <si>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</si>
  <si>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</si>
  <si>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</si>
  <si>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</si>
  <si>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</si>
  <si>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</si>
  <si>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</si>
  <si>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</si>
  <si>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</si>
  <si>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</si>
  <si>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</si>
  <si>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</si>
  <si>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</si>
  <si>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</si>
  <si>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</si>
  <si>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</si>
  <si>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</si>
  <si>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</si>
  <si>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</si>
  <si>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</si>
  <si>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</si>
  <si>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</si>
  <si>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</si>
  <si>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</si>
  <si>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</si>
  <si>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</si>
  <si>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</si>
  <si>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</si>
  <si>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</si>
  <si>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</si>
  <si>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</si>
  <si>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suma</t>
  </si>
  <si>
    <t>średnia</t>
  </si>
  <si>
    <t>wsółczynnik łatwości zadania</t>
  </si>
  <si>
    <t>poziom trudnosci zadania</t>
  </si>
  <si>
    <t>Max w standardach</t>
  </si>
  <si>
    <t>oddz</t>
  </si>
  <si>
    <t>liczba punktów w standardach w klasia A</t>
  </si>
  <si>
    <t>liczba uczniów</t>
  </si>
  <si>
    <t>A</t>
  </si>
  <si>
    <t>Współczynnik łatwości standardów</t>
  </si>
  <si>
    <t>Liczba piszących</t>
  </si>
  <si>
    <t>Łatwość zestawu</t>
  </si>
  <si>
    <t>Średni wynik</t>
  </si>
  <si>
    <t>Mediana</t>
  </si>
  <si>
    <t>Modalna</t>
  </si>
  <si>
    <t>Wynik maksymalny</t>
  </si>
  <si>
    <t>Wynik minimalny</t>
  </si>
  <si>
    <t>Rozstęp wyników</t>
  </si>
  <si>
    <t>Odchylenie standardowe</t>
  </si>
  <si>
    <t>Wskaźniki egzaminu</t>
  </si>
  <si>
    <t>ucz</t>
  </si>
  <si>
    <t>Klasa A</t>
  </si>
  <si>
    <t>Klasa B</t>
  </si>
  <si>
    <t>Klasa C</t>
  </si>
  <si>
    <t>Klasa D</t>
  </si>
  <si>
    <t>Klasa E</t>
  </si>
  <si>
    <t>Klasa F</t>
  </si>
  <si>
    <t>I-Czytanie</t>
  </si>
  <si>
    <t>II-Pisanie</t>
  </si>
  <si>
    <t>III-Rozumowanie</t>
  </si>
  <si>
    <t>IV-Korzystanie z informacji</t>
  </si>
  <si>
    <t>V-Wiedza w praktyce</t>
  </si>
  <si>
    <t>standardy</t>
  </si>
  <si>
    <t>max liczba punktów</t>
  </si>
  <si>
    <t>liczba punktów w szkole</t>
  </si>
  <si>
    <t>procent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</si>
</sst>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2060"/>
      <name val="Calibri"/>
      <family val="2"/>
      <charset val="238"/>
      <scheme val="minor"/>
    </font>
    <font>
      <b/>
      <sz val="10"/>
      <color rgb="FF002060"/>
      <name val="Arial CE"/>
      <family val="2"/>
      <charset val="238"/>
    </font>
    <font>
      <b/>
      <sz val="10"/>
      <color rgb="FF002060"/>
      <name val="Arial CE"/>
      <charset val="238"/>
    </font>
    <font>
      <sz val="10"/>
      <name val="Arial CE"/>
      <charset val="238"/>
    </font>
    <font>
      <sz val="10"/>
      <color indexed="10"/>
      <name val="Arial CE"/>
      <charset val="238"/>
    </font>
    <font>
      <b/>
      <sz val="10"/>
      <color theme="1"/>
      <name val="Arial CE"/>
      <charset val="238"/>
    </font>
    <font>
      <b/>
      <sz val="10"/>
      <name val="Arial CE"/>
      <family val="2"/>
      <charset val="238"/>
    </font>
    <font>
      <b/>
      <sz val="10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 shrinkToFit="1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 shrinkToFit="1"/>
      <protection locked="0"/>
    </xf>
    <xf numFmtId="0" fontId="5" fillId="2" borderId="5" xfId="0" applyFont="1" applyFill="1" applyBorder="1" applyAlignment="1" applyProtection="1">
      <alignment horizontal="center" shrinkToFit="1"/>
      <protection locked="0"/>
    </xf>
    <xf numFmtId="0" fontId="1" fillId="0" borderId="0" xfId="0" applyFont="1"/>
    <xf numFmtId="0" fontId="5" fillId="0" borderId="10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 shrinkToFit="1"/>
      <protection locked="0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12" xfId="0" applyFont="1" applyFill="1" applyBorder="1" applyAlignment="1" applyProtection="1">
      <alignment horizontal="center" shrinkToFit="1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 shrinkToFit="1"/>
      <protection locked="0"/>
    </xf>
    <xf numFmtId="0" fontId="3" fillId="0" borderId="14" xfId="0" applyFont="1" applyFill="1" applyBorder="1" applyAlignment="1" applyProtection="1">
      <alignment horizontal="center" shrinkToFit="1"/>
      <protection locked="0"/>
    </xf>
    <xf numFmtId="0" fontId="5" fillId="0" borderId="15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shrinkToFit="1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 shrinkToFit="1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 shrinkToFit="1"/>
      <protection locked="0"/>
    </xf>
    <xf numFmtId="0" fontId="5" fillId="0" borderId="12" xfId="0" applyFont="1" applyBorder="1" applyAlignment="1" applyProtection="1">
      <alignment horizontal="center" shrinkToFit="1"/>
      <protection locked="0"/>
    </xf>
    <xf numFmtId="0" fontId="5" fillId="0" borderId="20" xfId="0" applyFont="1" applyBorder="1" applyAlignment="1" applyProtection="1">
      <alignment horizontal="center" shrinkToFit="1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shrinkToFit="1"/>
      <protection locked="0"/>
    </xf>
    <xf numFmtId="0" fontId="5" fillId="0" borderId="14" xfId="0" applyFont="1" applyBorder="1" applyAlignment="1" applyProtection="1">
      <alignment horizontal="center" shrinkToFit="1"/>
      <protection locked="0"/>
    </xf>
    <xf numFmtId="0" fontId="2" fillId="0" borderId="6" xfId="0" applyFont="1" applyFill="1" applyBorder="1" applyAlignment="1">
      <alignment horizontal="center"/>
    </xf>
    <xf numFmtId="0" fontId="3" fillId="0" borderId="7" xfId="0" applyFont="1" applyFill="1" applyBorder="1" applyAlignment="1" applyProtection="1">
      <alignment horizontal="center"/>
      <protection locked="0"/>
    </xf>
    <xf numFmtId="0" fontId="3" fillId="0" borderId="21" xfId="0" applyFont="1" applyFill="1" applyBorder="1" applyAlignment="1" applyProtection="1">
      <alignment horizontal="center"/>
      <protection locked="0"/>
    </xf>
    <xf numFmtId="0" fontId="1" fillId="0" borderId="0" xfId="0" applyFont="1" applyBorder="1"/>
    <xf numFmtId="0" fontId="0" fillId="0" borderId="0" xfId="0" applyBorder="1"/>
    <xf numFmtId="0" fontId="5" fillId="0" borderId="0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>
      <alignment horizontal="center"/>
    </xf>
    <xf numFmtId="0" fontId="3" fillId="0" borderId="3" xfId="0" applyFont="1" applyFill="1" applyBorder="1" applyAlignment="1" applyProtection="1">
      <alignment horizontal="center" shrinkToFit="1"/>
      <protection locked="0"/>
    </xf>
    <xf numFmtId="0" fontId="4" fillId="0" borderId="3" xfId="0" applyFont="1" applyFill="1" applyBorder="1" applyAlignment="1" applyProtection="1">
      <alignment horizontal="center" shrinkToFit="1"/>
      <protection locked="0"/>
    </xf>
    <xf numFmtId="0" fontId="3" fillId="0" borderId="11" xfId="0" applyFont="1" applyFill="1" applyBorder="1" applyAlignment="1" applyProtection="1">
      <alignment horizontal="center" shrinkToFit="1"/>
      <protection locked="0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3" borderId="5" xfId="0" applyFill="1" applyBorder="1"/>
    <xf numFmtId="0" fontId="3" fillId="0" borderId="22" xfId="0" applyFont="1" applyFill="1" applyBorder="1" applyAlignment="1" applyProtection="1">
      <alignment horizontal="center" shrinkToFit="1"/>
      <protection locked="0"/>
    </xf>
    <xf numFmtId="0" fontId="5" fillId="0" borderId="23" xfId="0" applyFont="1" applyBorder="1" applyAlignment="1" applyProtection="1">
      <alignment horizontal="center" shrinkToFit="1"/>
      <protection locked="0"/>
    </xf>
    <xf numFmtId="0" fontId="5" fillId="0" borderId="24" xfId="0" applyFont="1" applyBorder="1" applyAlignment="1" applyProtection="1">
      <alignment horizontal="center" shrinkToFit="1"/>
      <protection locked="0"/>
    </xf>
    <xf numFmtId="0" fontId="5" fillId="0" borderId="22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/>
    <xf numFmtId="0" fontId="0" fillId="0" borderId="0" xfId="0" applyFill="1" applyBorder="1"/>
    <xf numFmtId="0" fontId="0" fillId="0" borderId="25" xfId="0" applyFill="1" applyBorder="1"/>
    <xf numFmtId="0" fontId="6" fillId="0" borderId="26" xfId="0" applyFont="1" applyBorder="1"/>
    <xf numFmtId="2" fontId="0" fillId="0" borderId="0" xfId="0" applyNumberFormat="1" applyBorder="1"/>
    <xf numFmtId="0" fontId="0" fillId="0" borderId="28" xfId="0" applyBorder="1"/>
    <xf numFmtId="0" fontId="0" fillId="0" borderId="27" xfId="0" applyBorder="1" applyAlignment="1">
      <alignment wrapText="1"/>
    </xf>
    <xf numFmtId="0" fontId="0" fillId="0" borderId="5" xfId="0" applyBorder="1"/>
    <xf numFmtId="2" fontId="0" fillId="0" borderId="5" xfId="0" applyNumberFormat="1" applyBorder="1"/>
    <xf numFmtId="0" fontId="0" fillId="3" borderId="7" xfId="0" applyFill="1" applyBorder="1"/>
    <xf numFmtId="0" fontId="0" fillId="0" borderId="30" xfId="0" applyBorder="1"/>
    <xf numFmtId="0" fontId="0" fillId="0" borderId="31" xfId="0" applyBorder="1"/>
    <xf numFmtId="2" fontId="0" fillId="0" borderId="4" xfId="0" applyNumberFormat="1" applyBorder="1"/>
    <xf numFmtId="0" fontId="0" fillId="0" borderId="12" xfId="0" applyBorder="1"/>
    <xf numFmtId="0" fontId="0" fillId="3" borderId="13" xfId="0" applyFill="1" applyBorder="1"/>
    <xf numFmtId="0" fontId="0" fillId="3" borderId="1" xfId="0" applyFill="1" applyBorder="1"/>
    <xf numFmtId="0" fontId="0" fillId="3" borderId="14" xfId="0" applyFill="1" applyBorder="1"/>
    <xf numFmtId="2" fontId="0" fillId="0" borderId="12" xfId="0" applyNumberFormat="1" applyBorder="1"/>
    <xf numFmtId="0" fontId="0" fillId="0" borderId="32" xfId="0" applyBorder="1"/>
    <xf numFmtId="0" fontId="0" fillId="0" borderId="17" xfId="0" applyBorder="1"/>
    <xf numFmtId="0" fontId="0" fillId="0" borderId="18" xfId="0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7" fillId="0" borderId="29" xfId="0" applyFont="1" applyBorder="1"/>
    <xf numFmtId="0" fontId="0" fillId="0" borderId="33" xfId="0" applyBorder="1"/>
    <xf numFmtId="0" fontId="0" fillId="0" borderId="34" xfId="0" applyBorder="1"/>
    <xf numFmtId="0" fontId="0" fillId="3" borderId="35" xfId="0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3" borderId="40" xfId="0" applyFill="1" applyBorder="1"/>
    <xf numFmtId="0" fontId="7" fillId="0" borderId="29" xfId="0" applyFont="1" applyFill="1" applyBorder="1" applyProtection="1"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 shrinkToFit="1"/>
      <protection locked="0"/>
    </xf>
    <xf numFmtId="0" fontId="1" fillId="0" borderId="0" xfId="0" applyFont="1" applyBorder="1" applyAlignment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0" fillId="3" borderId="8" xfId="0" applyFill="1" applyBorder="1"/>
    <xf numFmtId="0" fontId="3" fillId="0" borderId="9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 shrinkToFit="1"/>
      <protection locked="0"/>
    </xf>
    <xf numFmtId="0" fontId="3" fillId="0" borderId="20" xfId="0" applyFont="1" applyFill="1" applyBorder="1" applyAlignment="1" applyProtection="1">
      <alignment horizontal="center" shrinkToFit="1"/>
      <protection locked="0"/>
    </xf>
    <xf numFmtId="0" fontId="1" fillId="0" borderId="4" xfId="0" applyFont="1" applyBorder="1"/>
    <xf numFmtId="0" fontId="1" fillId="0" borderId="13" xfId="0" applyFont="1" applyBorder="1"/>
    <xf numFmtId="0" fontId="1" fillId="0" borderId="41" xfId="0" applyFont="1" applyBorder="1" applyAlignment="1">
      <alignment horizontal="center"/>
    </xf>
    <xf numFmtId="0" fontId="3" fillId="0" borderId="42" xfId="0" applyFont="1" applyFill="1" applyBorder="1" applyAlignment="1" applyProtection="1">
      <alignment horizontal="center"/>
      <protection locked="0"/>
    </xf>
    <xf numFmtId="0" fontId="3" fillId="0" borderId="42" xfId="0" applyFont="1" applyFill="1" applyBorder="1" applyAlignment="1" applyProtection="1">
      <alignment horizontal="center" shrinkToFit="1"/>
      <protection locked="0"/>
    </xf>
    <xf numFmtId="0" fontId="1" fillId="0" borderId="2" xfId="0" applyFont="1" applyBorder="1"/>
    <xf numFmtId="0" fontId="0" fillId="3" borderId="3" xfId="0" applyFill="1" applyBorder="1"/>
    <xf numFmtId="0" fontId="0" fillId="3" borderId="12" xfId="0" applyFill="1" applyBorder="1"/>
    <xf numFmtId="0" fontId="0" fillId="3" borderId="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3" fillId="0" borderId="43" xfId="0" applyFont="1" applyFill="1" applyBorder="1" applyAlignment="1" applyProtection="1">
      <alignment horizontal="center" shrinkToFit="1"/>
      <protection locked="0"/>
    </xf>
    <xf numFmtId="0" fontId="0" fillId="3" borderId="44" xfId="0" applyFill="1" applyBorder="1"/>
    <xf numFmtId="0" fontId="0" fillId="3" borderId="24" xfId="0" applyFill="1" applyBorder="1"/>
    <xf numFmtId="0" fontId="0" fillId="3" borderId="22" xfId="0" applyFill="1" applyBorder="1"/>
    <xf numFmtId="0" fontId="1" fillId="0" borderId="2" xfId="0" applyFont="1" applyFill="1" applyBorder="1"/>
    <xf numFmtId="0" fontId="1" fillId="0" borderId="11" xfId="0" applyFont="1" applyFill="1" applyBorder="1"/>
    <xf numFmtId="0" fontId="0" fillId="3" borderId="4" xfId="0" applyFill="1" applyBorder="1"/>
    <xf numFmtId="0" fontId="0" fillId="0" borderId="24" xfId="0" applyBorder="1"/>
    <xf numFmtId="164" fontId="0" fillId="4" borderId="24" xfId="0" applyNumberFormat="1" applyFill="1" applyBorder="1" applyProtection="1">
      <protection locked="0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11" xfId="0" applyBorder="1"/>
    <xf numFmtId="0" fontId="0" fillId="0" borderId="4" xfId="0" applyBorder="1"/>
    <xf numFmtId="0" fontId="0" fillId="0" borderId="13" xfId="0" applyBorder="1"/>
    <xf numFmtId="10" fontId="0" fillId="3" borderId="5" xfId="0" applyNumberFormat="1" applyFill="1" applyBorder="1"/>
    <xf numFmtId="0" fontId="0" fillId="3" borderId="5" xfId="0" applyFill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Współczynnik</a:t>
            </a:r>
            <a:r>
              <a:rPr lang="en-US" baseline="0"/>
              <a:t> łatwości zadania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'KLASA A'!$B$3:$AB$3</c:f>
              <c:strCach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 I</c:v>
                </c:pt>
                <c:pt idx="21">
                  <c:v>21 II</c:v>
                </c:pt>
                <c:pt idx="22">
                  <c:v>22 I</c:v>
                </c:pt>
                <c:pt idx="23">
                  <c:v>22 II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</c:strCache>
            </c:strRef>
          </c:cat>
          <c:val>
            <c:numRef>
              <c:f>'KLASA A'!$B$37:$AB$37</c:f>
              <c:numCache>
                <c:formatCode>General</c:formatCode>
                <c:ptCount val="27"/>
                <c:pt idx="0">
                  <c:v>1</c:v>
                </c:pt>
                <c:pt idx="1">
                  <c:v>1</c:v>
                </c:pt>
                <c:pt idx="2">
                  <c:v>0.92</c:v>
                </c:pt>
                <c:pt idx="3">
                  <c:v>0.88</c:v>
                </c:pt>
                <c:pt idx="4">
                  <c:v>0.16</c:v>
                </c:pt>
                <c:pt idx="5">
                  <c:v>0.84</c:v>
                </c:pt>
                <c:pt idx="6">
                  <c:v>0.57999999999999996</c:v>
                </c:pt>
                <c:pt idx="7">
                  <c:v>0.44</c:v>
                </c:pt>
                <c:pt idx="8">
                  <c:v>0.8</c:v>
                </c:pt>
                <c:pt idx="9">
                  <c:v>0.24</c:v>
                </c:pt>
                <c:pt idx="10">
                  <c:v>0.64</c:v>
                </c:pt>
                <c:pt idx="11">
                  <c:v>0.96</c:v>
                </c:pt>
                <c:pt idx="12">
                  <c:v>0.72</c:v>
                </c:pt>
                <c:pt idx="13">
                  <c:v>0.68</c:v>
                </c:pt>
                <c:pt idx="14">
                  <c:v>0.96</c:v>
                </c:pt>
                <c:pt idx="15">
                  <c:v>0.32</c:v>
                </c:pt>
                <c:pt idx="16">
                  <c:v>0.48</c:v>
                </c:pt>
                <c:pt idx="17">
                  <c:v>0.84</c:v>
                </c:pt>
                <c:pt idx="18">
                  <c:v>0.36</c:v>
                </c:pt>
                <c:pt idx="19">
                  <c:v>0.48</c:v>
                </c:pt>
                <c:pt idx="20">
                  <c:v>0.36</c:v>
                </c:pt>
                <c:pt idx="21">
                  <c:v>0.16</c:v>
                </c:pt>
                <c:pt idx="22">
                  <c:v>0.2</c:v>
                </c:pt>
                <c:pt idx="23">
                  <c:v>0.14000000000000001</c:v>
                </c:pt>
                <c:pt idx="24">
                  <c:v>0.62</c:v>
                </c:pt>
                <c:pt idx="25">
                  <c:v>0.68</c:v>
                </c:pt>
                <c:pt idx="26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A-4C1C-A08A-72E762239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283072"/>
        <c:axId val="1889281632"/>
      </c:lineChart>
      <c:catAx>
        <c:axId val="18892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9281632"/>
        <c:crosses val="autoZero"/>
        <c:auto val="1"/>
        <c:lblAlgn val="ctr"/>
        <c:lblOffset val="100"/>
        <c:noMultiLvlLbl val="0"/>
      </c:catAx>
      <c:valAx>
        <c:axId val="188928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92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Wyniki</a:t>
            </a:r>
            <a:r>
              <a:rPr lang="en-US" baseline="0"/>
              <a:t> uczniów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'KLASA A'!$A$6:$A$30</c:f>
              <c:strCache>
                <c:ptCount val="25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A06</c:v>
                </c:pt>
                <c:pt idx="6">
                  <c:v>A07</c:v>
                </c:pt>
                <c:pt idx="7">
                  <c:v>A08</c:v>
                </c:pt>
                <c:pt idx="8">
                  <c:v>A09</c:v>
                </c:pt>
                <c:pt idx="9">
                  <c:v>A10</c:v>
                </c:pt>
                <c:pt idx="10">
                  <c:v>A11</c:v>
                </c:pt>
                <c:pt idx="11">
                  <c:v>A12</c:v>
                </c:pt>
                <c:pt idx="12">
                  <c:v>A13</c:v>
                </c:pt>
                <c:pt idx="13">
                  <c:v>A14</c:v>
                </c:pt>
                <c:pt idx="14">
                  <c:v>A15</c:v>
                </c:pt>
                <c:pt idx="15">
                  <c:v>A16</c:v>
                </c:pt>
                <c:pt idx="16">
                  <c:v>A17</c:v>
                </c:pt>
                <c:pt idx="17">
                  <c:v>A18</c:v>
                </c:pt>
                <c:pt idx="18">
                  <c:v>A19</c:v>
                </c:pt>
                <c:pt idx="19">
                  <c:v>A20</c:v>
                </c:pt>
                <c:pt idx="20">
                  <c:v>A21</c:v>
                </c:pt>
                <c:pt idx="21">
                  <c:v>A22</c:v>
                </c:pt>
                <c:pt idx="22">
                  <c:v>A23</c:v>
                </c:pt>
                <c:pt idx="23">
                  <c:v>A24</c:v>
                </c:pt>
                <c:pt idx="24">
                  <c:v>A25</c:v>
                </c:pt>
              </c:strCache>
            </c:strRef>
          </c:cat>
          <c:val>
            <c:numRef>
              <c:f>'KLASA A'!$AC$6:$AC$30</c:f>
              <c:numCache>
                <c:formatCode>General</c:formatCode>
                <c:ptCount val="25"/>
                <c:pt idx="0">
                  <c:v>35</c:v>
                </c:pt>
                <c:pt idx="1">
                  <c:v>16</c:v>
                </c:pt>
                <c:pt idx="2">
                  <c:v>34</c:v>
                </c:pt>
                <c:pt idx="3">
                  <c:v>18</c:v>
                </c:pt>
                <c:pt idx="4">
                  <c:v>11</c:v>
                </c:pt>
                <c:pt idx="5">
                  <c:v>22</c:v>
                </c:pt>
                <c:pt idx="6">
                  <c:v>24</c:v>
                </c:pt>
                <c:pt idx="7">
                  <c:v>20</c:v>
                </c:pt>
                <c:pt idx="8">
                  <c:v>17</c:v>
                </c:pt>
                <c:pt idx="9">
                  <c:v>10</c:v>
                </c:pt>
                <c:pt idx="10">
                  <c:v>24</c:v>
                </c:pt>
                <c:pt idx="11">
                  <c:v>22</c:v>
                </c:pt>
                <c:pt idx="12">
                  <c:v>19</c:v>
                </c:pt>
                <c:pt idx="13">
                  <c:v>23</c:v>
                </c:pt>
                <c:pt idx="14">
                  <c:v>15</c:v>
                </c:pt>
                <c:pt idx="15">
                  <c:v>16</c:v>
                </c:pt>
                <c:pt idx="16">
                  <c:v>33</c:v>
                </c:pt>
                <c:pt idx="17">
                  <c:v>25</c:v>
                </c:pt>
                <c:pt idx="18">
                  <c:v>17</c:v>
                </c:pt>
                <c:pt idx="19">
                  <c:v>22</c:v>
                </c:pt>
                <c:pt idx="20">
                  <c:v>29</c:v>
                </c:pt>
                <c:pt idx="21">
                  <c:v>23</c:v>
                </c:pt>
                <c:pt idx="22">
                  <c:v>12</c:v>
                </c:pt>
                <c:pt idx="23">
                  <c:v>17</c:v>
                </c:pt>
                <c:pt idx="2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7-43FA-834D-4C98A61A5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738000"/>
        <c:axId val="2031739920"/>
      </c:barChart>
      <c:catAx>
        <c:axId val="203173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uczniowie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1739920"/>
        <c:crosses val="autoZero"/>
        <c:auto val="1"/>
        <c:lblAlgn val="ctr"/>
        <c:lblOffset val="100"/>
        <c:noMultiLvlLbl val="0"/>
      </c:catAx>
      <c:valAx>
        <c:axId val="203173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suma</a:t>
                </a:r>
                <a:r>
                  <a:rPr lang="en-US" baseline="0"/>
                  <a:t> punktów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17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76200</xdr:colOff>
      <xdr:row>42</xdr:row>
      <xdr:rowOff>0</xdr:rowOff>
    </xdr:from>
    <xdr:to>
      <xdr:col>30</xdr:col>
      <xdr:colOff>162958</xdr:colOff>
      <xdr:row>64</xdr:row>
      <xdr:rowOff>114889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DCDAE84-C31F-40FE-B54A-F3885F612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69486" y="8360229"/>
          <a:ext cx="7401958" cy="4229690"/>
        </a:xfrm>
        <a:prstGeom prst="rect">
          <a:avLst/>
        </a:prstGeom>
      </xdr:spPr>
    </xdr:pic>
    <xdr:clientData/>
  </xdr:twoCellAnchor>
  <xdr:twoCellAnchor>
    <xdr:from>
      <xdr:col>31</xdr:col>
      <xdr:colOff>13606</xdr:colOff>
      <xdr:row>16</xdr:row>
      <xdr:rowOff>136072</xdr:rowOff>
    </xdr:from>
    <xdr:to>
      <xdr:col>38</xdr:col>
      <xdr:colOff>299357</xdr:colOff>
      <xdr:row>29</xdr:row>
      <xdr:rowOff>136072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6E02314-1899-4451-B812-2CE050B46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13607</xdr:colOff>
      <xdr:row>0</xdr:row>
      <xdr:rowOff>390523</xdr:rowOff>
    </xdr:from>
    <xdr:to>
      <xdr:col>38</xdr:col>
      <xdr:colOff>299357</xdr:colOff>
      <xdr:row>15</xdr:row>
      <xdr:rowOff>44902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EF601FB-40CB-723C-B527-F62AD92DB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FEC7-AC61-49E9-851E-5B94D66D4E89}">
  <dimension ref="A1:AD60"/>
  <sheetViews>
    <sheetView zoomScale="70" zoomScaleNormal="70" workbookViewId="0">
      <selection activeCell="L47" sqref="L47"/>
    </sheetView>
  </sheetViews>
  <sheetFormatPr defaultRowHeight="15" x14ac:dyDescent="0.25"/>
  <cols>
    <col min="1" max="1" width="18" customWidth="1"/>
    <col min="2" max="2" width="10" bestFit="1" customWidth="1"/>
    <col min="6" max="6" width="11.42578125" bestFit="1" customWidth="1"/>
  </cols>
  <sheetData>
    <row r="1" spans="1:30" ht="30.75" thickBot="1" x14ac:dyDescent="0.3">
      <c r="A1" s="6" t="s">
        <v>36</v>
      </c>
      <c r="B1" s="64" t="s">
        <v>169</v>
      </c>
      <c r="C1" s="63">
        <v>25</v>
      </c>
    </row>
    <row r="2" spans="1:30" ht="15.75" thickBot="1" x14ac:dyDescent="0.3"/>
    <row r="3" spans="1:30" x14ac:dyDescent="0.25">
      <c r="A3" s="39" t="s">
        <v>0</v>
      </c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40" t="s">
        <v>1</v>
      </c>
      <c r="W3" s="40" t="s">
        <v>2</v>
      </c>
      <c r="X3" s="40" t="s">
        <v>3</v>
      </c>
      <c r="Y3" s="41" t="s">
        <v>4</v>
      </c>
      <c r="Z3" s="40">
        <v>23</v>
      </c>
      <c r="AA3" s="40">
        <v>24</v>
      </c>
      <c r="AB3" s="42">
        <v>25</v>
      </c>
    </row>
    <row r="4" spans="1:30" x14ac:dyDescent="0.25">
      <c r="A4" s="43" t="s">
        <v>5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7</v>
      </c>
      <c r="T4" s="1" t="s">
        <v>9</v>
      </c>
      <c r="U4" s="1" t="s">
        <v>9</v>
      </c>
      <c r="V4" s="2" t="s">
        <v>7</v>
      </c>
      <c r="W4" s="2" t="s">
        <v>9</v>
      </c>
      <c r="X4" s="2" t="s">
        <v>7</v>
      </c>
      <c r="Y4" s="2" t="s">
        <v>9</v>
      </c>
      <c r="Z4" s="2" t="s">
        <v>6</v>
      </c>
      <c r="AA4" s="2" t="s">
        <v>6</v>
      </c>
      <c r="AB4" s="11" t="s">
        <v>10</v>
      </c>
    </row>
    <row r="5" spans="1:30" ht="15.75" thickBot="1" x14ac:dyDescent="0.3">
      <c r="A5" s="44" t="s">
        <v>120</v>
      </c>
      <c r="B5" s="12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2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3">
        <v>3</v>
      </c>
      <c r="W5" s="13">
        <v>1</v>
      </c>
      <c r="X5" s="13">
        <v>2</v>
      </c>
      <c r="Y5" s="13">
        <v>2</v>
      </c>
      <c r="Z5" s="13">
        <v>2</v>
      </c>
      <c r="AA5" s="13">
        <v>1</v>
      </c>
      <c r="AB5" s="52">
        <v>8</v>
      </c>
      <c r="AC5" s="56" t="s">
        <v>162</v>
      </c>
      <c r="AD5" s="56" t="s">
        <v>197</v>
      </c>
    </row>
    <row r="6" spans="1:30" x14ac:dyDescent="0.25">
      <c r="A6" s="45" t="s">
        <v>11</v>
      </c>
      <c r="B6" s="15">
        <v>1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2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8">
        <v>3</v>
      </c>
      <c r="W6" s="8">
        <v>1</v>
      </c>
      <c r="X6" s="8">
        <v>2</v>
      </c>
      <c r="Y6" s="8">
        <v>1</v>
      </c>
      <c r="Z6" s="8">
        <v>2</v>
      </c>
      <c r="AA6" s="8">
        <v>1</v>
      </c>
      <c r="AB6" s="53">
        <v>4</v>
      </c>
      <c r="AC6" s="51">
        <f>SUM(B6:AB6)</f>
        <v>35</v>
      </c>
      <c r="AD6" s="133">
        <f>(AC6/40)</f>
        <v>0.875</v>
      </c>
    </row>
    <row r="7" spans="1:30" x14ac:dyDescent="0.25">
      <c r="A7" s="46" t="s">
        <v>12</v>
      </c>
      <c r="B7" s="16">
        <v>1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 s="3">
        <v>2</v>
      </c>
      <c r="I7" s="3">
        <v>0</v>
      </c>
      <c r="J7" s="3">
        <v>1</v>
      </c>
      <c r="K7" s="3">
        <v>0</v>
      </c>
      <c r="L7" s="3">
        <v>0</v>
      </c>
      <c r="M7" s="3">
        <v>1</v>
      </c>
      <c r="N7" s="3">
        <v>1</v>
      </c>
      <c r="O7" s="3">
        <v>1</v>
      </c>
      <c r="P7" s="3">
        <v>1</v>
      </c>
      <c r="Q7" s="3">
        <v>0</v>
      </c>
      <c r="R7" s="3">
        <v>1</v>
      </c>
      <c r="S7" s="3">
        <v>1</v>
      </c>
      <c r="T7" s="3">
        <v>0</v>
      </c>
      <c r="U7" s="3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54">
        <v>2</v>
      </c>
      <c r="AC7" s="51">
        <f t="shared" ref="AC7:AC30" si="0">SUM(B7:AB7)</f>
        <v>16</v>
      </c>
      <c r="AD7" s="133">
        <f t="shared" ref="AD7:AD30" si="1">(AC7/40)</f>
        <v>0.4</v>
      </c>
    </row>
    <row r="8" spans="1:30" x14ac:dyDescent="0.25">
      <c r="A8" s="46" t="s">
        <v>13</v>
      </c>
      <c r="B8" s="16">
        <v>1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2</v>
      </c>
      <c r="I8" s="3">
        <v>1</v>
      </c>
      <c r="J8" s="3">
        <v>1</v>
      </c>
      <c r="K8" s="3">
        <v>1</v>
      </c>
      <c r="L8" s="3">
        <v>0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4">
        <v>1</v>
      </c>
      <c r="W8" s="4">
        <v>1</v>
      </c>
      <c r="X8" s="4">
        <v>2</v>
      </c>
      <c r="Y8" s="4">
        <v>2</v>
      </c>
      <c r="Z8" s="4">
        <v>2</v>
      </c>
      <c r="AA8" s="4">
        <v>1</v>
      </c>
      <c r="AB8" s="54">
        <v>6</v>
      </c>
      <c r="AC8" s="51">
        <f t="shared" si="0"/>
        <v>34</v>
      </c>
      <c r="AD8" s="133">
        <f t="shared" si="1"/>
        <v>0.85</v>
      </c>
    </row>
    <row r="9" spans="1:30" x14ac:dyDescent="0.25">
      <c r="A9" s="46" t="s">
        <v>14</v>
      </c>
      <c r="B9" s="16">
        <v>1</v>
      </c>
      <c r="C9" s="3">
        <v>1</v>
      </c>
      <c r="D9" s="3">
        <v>1</v>
      </c>
      <c r="E9" s="3">
        <v>1</v>
      </c>
      <c r="F9" s="3">
        <v>0</v>
      </c>
      <c r="G9" s="3">
        <v>1</v>
      </c>
      <c r="H9" s="3">
        <v>2</v>
      </c>
      <c r="I9" s="3">
        <v>0</v>
      </c>
      <c r="J9" s="3">
        <v>1</v>
      </c>
      <c r="K9" s="3">
        <v>0</v>
      </c>
      <c r="L9" s="3">
        <v>1</v>
      </c>
      <c r="M9" s="3">
        <v>1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4">
        <v>1</v>
      </c>
      <c r="W9" s="4">
        <v>0</v>
      </c>
      <c r="X9" s="4">
        <v>0</v>
      </c>
      <c r="Y9" s="4">
        <v>0</v>
      </c>
      <c r="Z9" s="4">
        <v>2</v>
      </c>
      <c r="AA9" s="4">
        <v>0</v>
      </c>
      <c r="AB9" s="54">
        <v>3</v>
      </c>
      <c r="AC9" s="51">
        <f t="shared" si="0"/>
        <v>18</v>
      </c>
      <c r="AD9" s="133">
        <f t="shared" si="1"/>
        <v>0.45</v>
      </c>
    </row>
    <row r="10" spans="1:30" x14ac:dyDescent="0.25">
      <c r="A10" s="46" t="s">
        <v>15</v>
      </c>
      <c r="B10" s="16">
        <v>1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54">
        <v>2</v>
      </c>
      <c r="AC10" s="51">
        <f t="shared" si="0"/>
        <v>11</v>
      </c>
      <c r="AD10" s="133">
        <f t="shared" si="1"/>
        <v>0.27500000000000002</v>
      </c>
    </row>
    <row r="11" spans="1:30" x14ac:dyDescent="0.25">
      <c r="A11" s="46" t="s">
        <v>16</v>
      </c>
      <c r="B11" s="16">
        <v>1</v>
      </c>
      <c r="C11" s="3">
        <v>1</v>
      </c>
      <c r="D11" s="3">
        <v>1</v>
      </c>
      <c r="E11" s="3">
        <v>1</v>
      </c>
      <c r="F11" s="3">
        <v>0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1</v>
      </c>
      <c r="M11" s="3">
        <v>1</v>
      </c>
      <c r="N11" s="3">
        <v>0</v>
      </c>
      <c r="O11" s="3">
        <v>1</v>
      </c>
      <c r="P11" s="3">
        <v>1</v>
      </c>
      <c r="Q11" s="3">
        <v>0</v>
      </c>
      <c r="R11" s="3">
        <v>1</v>
      </c>
      <c r="S11" s="3">
        <v>1</v>
      </c>
      <c r="T11" s="3">
        <v>0</v>
      </c>
      <c r="U11" s="3">
        <v>0</v>
      </c>
      <c r="V11" s="4">
        <v>1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54">
        <v>5</v>
      </c>
      <c r="AC11" s="51">
        <f t="shared" si="0"/>
        <v>22</v>
      </c>
      <c r="AD11" s="133">
        <f t="shared" si="1"/>
        <v>0.55000000000000004</v>
      </c>
    </row>
    <row r="12" spans="1:30" x14ac:dyDescent="0.25">
      <c r="A12" s="46" t="s">
        <v>17</v>
      </c>
      <c r="B12" s="16">
        <v>1</v>
      </c>
      <c r="C12" s="3">
        <v>1</v>
      </c>
      <c r="D12" s="3">
        <v>1</v>
      </c>
      <c r="E12" s="3">
        <v>1</v>
      </c>
      <c r="F12" s="3">
        <v>0</v>
      </c>
      <c r="G12" s="3">
        <v>1</v>
      </c>
      <c r="H12" s="3">
        <v>1</v>
      </c>
      <c r="I12" s="3">
        <v>1</v>
      </c>
      <c r="J12" s="3">
        <v>1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s="3">
        <v>0</v>
      </c>
      <c r="T12" s="3">
        <v>0</v>
      </c>
      <c r="U12" s="3">
        <v>1</v>
      </c>
      <c r="V12" s="4">
        <v>0</v>
      </c>
      <c r="W12" s="4">
        <v>0</v>
      </c>
      <c r="X12" s="4">
        <v>1</v>
      </c>
      <c r="Y12" s="4">
        <v>0</v>
      </c>
      <c r="Z12" s="4">
        <v>2</v>
      </c>
      <c r="AA12" s="4">
        <v>1</v>
      </c>
      <c r="AB12" s="54">
        <v>5</v>
      </c>
      <c r="AC12" s="51">
        <f t="shared" si="0"/>
        <v>24</v>
      </c>
      <c r="AD12" s="133">
        <f t="shared" si="1"/>
        <v>0.6</v>
      </c>
    </row>
    <row r="13" spans="1:30" x14ac:dyDescent="0.25">
      <c r="A13" s="46" t="s">
        <v>18</v>
      </c>
      <c r="B13" s="16">
        <v>1</v>
      </c>
      <c r="C13" s="3">
        <v>1</v>
      </c>
      <c r="D13" s="3">
        <v>1</v>
      </c>
      <c r="E13" s="3">
        <v>1</v>
      </c>
      <c r="F13" s="3">
        <v>0</v>
      </c>
      <c r="G13" s="3">
        <v>1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1</v>
      </c>
      <c r="Q13" s="3">
        <v>1</v>
      </c>
      <c r="R13" s="3">
        <v>1</v>
      </c>
      <c r="S13" s="3">
        <v>0</v>
      </c>
      <c r="T13" s="3">
        <v>1</v>
      </c>
      <c r="U13" s="3">
        <v>1</v>
      </c>
      <c r="V13" s="4">
        <v>2</v>
      </c>
      <c r="W13" s="4">
        <v>0</v>
      </c>
      <c r="X13" s="4">
        <v>1</v>
      </c>
      <c r="Y13" s="4">
        <v>0</v>
      </c>
      <c r="Z13" s="4">
        <v>1</v>
      </c>
      <c r="AA13" s="4">
        <v>0</v>
      </c>
      <c r="AB13" s="54">
        <v>2</v>
      </c>
      <c r="AC13" s="51">
        <f t="shared" si="0"/>
        <v>20</v>
      </c>
      <c r="AD13" s="133">
        <f t="shared" si="1"/>
        <v>0.5</v>
      </c>
    </row>
    <row r="14" spans="1:30" x14ac:dyDescent="0.25">
      <c r="A14" s="46" t="s">
        <v>19</v>
      </c>
      <c r="B14" s="16">
        <v>1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1</v>
      </c>
      <c r="N14" s="3">
        <v>1</v>
      </c>
      <c r="O14" s="3">
        <v>1</v>
      </c>
      <c r="P14" s="3">
        <v>1</v>
      </c>
      <c r="Q14" s="3">
        <v>0</v>
      </c>
      <c r="R14" s="3">
        <v>0</v>
      </c>
      <c r="S14" s="3">
        <v>1</v>
      </c>
      <c r="T14" s="3">
        <v>1</v>
      </c>
      <c r="U14" s="3">
        <v>1</v>
      </c>
      <c r="V14" s="4">
        <v>1</v>
      </c>
      <c r="W14" s="4">
        <v>0</v>
      </c>
      <c r="X14" s="4">
        <v>0</v>
      </c>
      <c r="Y14" s="4">
        <v>0</v>
      </c>
      <c r="Z14" s="5">
        <v>0</v>
      </c>
      <c r="AA14" s="4">
        <v>1</v>
      </c>
      <c r="AB14" s="54">
        <v>2</v>
      </c>
      <c r="AC14" s="51">
        <f t="shared" si="0"/>
        <v>17</v>
      </c>
      <c r="AD14" s="133">
        <f t="shared" si="1"/>
        <v>0.42499999999999999</v>
      </c>
    </row>
    <row r="15" spans="1:30" x14ac:dyDescent="0.25">
      <c r="A15" s="46" t="s">
        <v>20</v>
      </c>
      <c r="B15" s="16">
        <v>1</v>
      </c>
      <c r="C15" s="3">
        <v>1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s="3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54">
        <v>0</v>
      </c>
      <c r="AC15" s="51">
        <f t="shared" si="0"/>
        <v>10</v>
      </c>
      <c r="AD15" s="133">
        <f t="shared" si="1"/>
        <v>0.25</v>
      </c>
    </row>
    <row r="16" spans="1:30" x14ac:dyDescent="0.25">
      <c r="A16" s="46" t="s">
        <v>21</v>
      </c>
      <c r="B16" s="16">
        <v>1</v>
      </c>
      <c r="C16" s="3">
        <v>1</v>
      </c>
      <c r="D16" s="3">
        <v>1</v>
      </c>
      <c r="E16" s="3">
        <v>1</v>
      </c>
      <c r="F16" s="3">
        <v>0</v>
      </c>
      <c r="G16" s="3">
        <v>1</v>
      </c>
      <c r="H16" s="3">
        <v>2</v>
      </c>
      <c r="I16" s="3">
        <v>0</v>
      </c>
      <c r="J16" s="3">
        <v>1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0</v>
      </c>
      <c r="R16" s="3">
        <v>1</v>
      </c>
      <c r="S16" s="3">
        <v>1</v>
      </c>
      <c r="T16" s="3">
        <v>0</v>
      </c>
      <c r="U16" s="3">
        <v>0</v>
      </c>
      <c r="V16" s="4">
        <v>2</v>
      </c>
      <c r="W16" s="4">
        <v>0</v>
      </c>
      <c r="X16" s="4">
        <v>0</v>
      </c>
      <c r="Y16" s="4">
        <v>0</v>
      </c>
      <c r="Z16" s="4">
        <v>2</v>
      </c>
      <c r="AA16" s="4">
        <v>0</v>
      </c>
      <c r="AB16" s="54">
        <v>5</v>
      </c>
      <c r="AC16" s="51">
        <f t="shared" si="0"/>
        <v>24</v>
      </c>
      <c r="AD16" s="133">
        <f t="shared" si="1"/>
        <v>0.6</v>
      </c>
    </row>
    <row r="17" spans="1:30" x14ac:dyDescent="0.25">
      <c r="A17" s="46" t="s">
        <v>22</v>
      </c>
      <c r="B17" s="16">
        <v>1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3">
        <v>2</v>
      </c>
      <c r="I17" s="3">
        <v>0</v>
      </c>
      <c r="J17" s="3">
        <v>1</v>
      </c>
      <c r="K17" s="3">
        <v>0</v>
      </c>
      <c r="L17" s="3">
        <v>1</v>
      </c>
      <c r="M17" s="3">
        <v>1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1</v>
      </c>
      <c r="T17" s="3">
        <v>0</v>
      </c>
      <c r="U17" s="3">
        <v>1</v>
      </c>
      <c r="V17" s="4">
        <v>1</v>
      </c>
      <c r="W17" s="4">
        <v>0</v>
      </c>
      <c r="X17" s="4">
        <v>0</v>
      </c>
      <c r="Y17" s="4">
        <v>0</v>
      </c>
      <c r="Z17" s="4">
        <v>2</v>
      </c>
      <c r="AA17" s="4">
        <v>1</v>
      </c>
      <c r="AB17" s="54">
        <v>5</v>
      </c>
      <c r="AC17" s="51">
        <f t="shared" si="0"/>
        <v>22</v>
      </c>
      <c r="AD17" s="133">
        <f t="shared" si="1"/>
        <v>0.55000000000000004</v>
      </c>
    </row>
    <row r="18" spans="1:30" x14ac:dyDescent="0.25">
      <c r="A18" s="46" t="s">
        <v>23</v>
      </c>
      <c r="B18" s="16">
        <v>1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0</v>
      </c>
      <c r="P18" s="3">
        <v>1</v>
      </c>
      <c r="Q18" s="3">
        <v>1</v>
      </c>
      <c r="R18" s="3">
        <v>1</v>
      </c>
      <c r="S18" s="3">
        <v>1</v>
      </c>
      <c r="T18" s="3">
        <v>0</v>
      </c>
      <c r="U18" s="3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54">
        <v>4</v>
      </c>
      <c r="AC18" s="51">
        <f t="shared" si="0"/>
        <v>19</v>
      </c>
      <c r="AD18" s="133">
        <f t="shared" si="1"/>
        <v>0.47499999999999998</v>
      </c>
    </row>
    <row r="19" spans="1:30" x14ac:dyDescent="0.25">
      <c r="A19" s="46" t="s">
        <v>24</v>
      </c>
      <c r="B19" s="16">
        <v>1</v>
      </c>
      <c r="C19" s="3">
        <v>1</v>
      </c>
      <c r="D19" s="3">
        <v>1</v>
      </c>
      <c r="E19" s="3">
        <v>1</v>
      </c>
      <c r="F19" s="3">
        <v>0</v>
      </c>
      <c r="G19" s="3">
        <v>1</v>
      </c>
      <c r="H19" s="3">
        <v>1</v>
      </c>
      <c r="I19" s="3">
        <v>1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4">
        <v>0</v>
      </c>
      <c r="W19" s="4">
        <v>0</v>
      </c>
      <c r="X19" s="4">
        <v>0</v>
      </c>
      <c r="Y19" s="4">
        <v>0</v>
      </c>
      <c r="Z19" s="4">
        <v>2</v>
      </c>
      <c r="AA19" s="4">
        <v>1</v>
      </c>
      <c r="AB19" s="54">
        <v>5</v>
      </c>
      <c r="AC19" s="51">
        <f t="shared" si="0"/>
        <v>23</v>
      </c>
      <c r="AD19" s="133">
        <f t="shared" si="1"/>
        <v>0.57499999999999996</v>
      </c>
    </row>
    <row r="20" spans="1:30" x14ac:dyDescent="0.25">
      <c r="A20" s="46" t="s">
        <v>25</v>
      </c>
      <c r="B20" s="16">
        <v>1</v>
      </c>
      <c r="C20" s="3">
        <v>1</v>
      </c>
      <c r="D20" s="3">
        <v>0</v>
      </c>
      <c r="E20" s="3">
        <v>1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1</v>
      </c>
      <c r="T20" s="3">
        <v>0</v>
      </c>
      <c r="U20" s="3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54">
        <v>4</v>
      </c>
      <c r="AC20" s="51">
        <f t="shared" si="0"/>
        <v>15</v>
      </c>
      <c r="AD20" s="133">
        <f t="shared" si="1"/>
        <v>0.375</v>
      </c>
    </row>
    <row r="21" spans="1:30" x14ac:dyDescent="0.25">
      <c r="A21" s="46" t="s">
        <v>26</v>
      </c>
      <c r="B21" s="16">
        <v>1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1</v>
      </c>
      <c r="N21" s="3">
        <v>1</v>
      </c>
      <c r="O21" s="3">
        <v>1</v>
      </c>
      <c r="P21" s="3">
        <v>1</v>
      </c>
      <c r="Q21" s="3">
        <v>0</v>
      </c>
      <c r="R21" s="3">
        <v>0</v>
      </c>
      <c r="S21" s="3">
        <v>1</v>
      </c>
      <c r="T21" s="3">
        <v>1</v>
      </c>
      <c r="U21" s="3">
        <v>0</v>
      </c>
      <c r="V21" s="4">
        <v>1</v>
      </c>
      <c r="W21" s="4">
        <v>0</v>
      </c>
      <c r="X21" s="4">
        <v>0</v>
      </c>
      <c r="Y21" s="4">
        <v>0</v>
      </c>
      <c r="Z21" s="4">
        <v>2</v>
      </c>
      <c r="AA21" s="4">
        <v>1</v>
      </c>
      <c r="AB21" s="54">
        <v>2</v>
      </c>
      <c r="AC21" s="51">
        <f t="shared" si="0"/>
        <v>16</v>
      </c>
      <c r="AD21" s="133">
        <f t="shared" si="1"/>
        <v>0.4</v>
      </c>
    </row>
    <row r="22" spans="1:30" x14ac:dyDescent="0.25">
      <c r="A22" s="46" t="s">
        <v>27</v>
      </c>
      <c r="B22" s="16">
        <v>1</v>
      </c>
      <c r="C22" s="3">
        <v>1</v>
      </c>
      <c r="D22" s="3">
        <v>1</v>
      </c>
      <c r="E22" s="3">
        <v>1</v>
      </c>
      <c r="F22" s="3">
        <v>0</v>
      </c>
      <c r="G22" s="3">
        <v>1</v>
      </c>
      <c r="H22" s="3">
        <v>2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4">
        <v>2</v>
      </c>
      <c r="W22" s="4">
        <v>0</v>
      </c>
      <c r="X22" s="4">
        <v>2</v>
      </c>
      <c r="Y22" s="4">
        <v>2</v>
      </c>
      <c r="Z22" s="4">
        <v>2</v>
      </c>
      <c r="AA22" s="4">
        <v>1</v>
      </c>
      <c r="AB22" s="54">
        <v>5</v>
      </c>
      <c r="AC22" s="51">
        <f t="shared" si="0"/>
        <v>33</v>
      </c>
      <c r="AD22" s="133">
        <f t="shared" si="1"/>
        <v>0.82499999999999996</v>
      </c>
    </row>
    <row r="23" spans="1:30" x14ac:dyDescent="0.25">
      <c r="A23" s="46" t="s">
        <v>28</v>
      </c>
      <c r="B23" s="16">
        <v>1</v>
      </c>
      <c r="C23" s="3">
        <v>1</v>
      </c>
      <c r="D23" s="3">
        <v>1</v>
      </c>
      <c r="E23" s="3">
        <v>1</v>
      </c>
      <c r="F23" s="3">
        <v>0</v>
      </c>
      <c r="G23" s="3">
        <v>1</v>
      </c>
      <c r="H23" s="3">
        <v>2</v>
      </c>
      <c r="I23" s="3">
        <v>0</v>
      </c>
      <c r="J23" s="3">
        <v>1</v>
      </c>
      <c r="K23" s="3">
        <v>0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1</v>
      </c>
      <c r="T23" s="3">
        <v>1</v>
      </c>
      <c r="U23" s="3">
        <v>0</v>
      </c>
      <c r="V23" s="4">
        <v>3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54">
        <v>5</v>
      </c>
      <c r="AC23" s="51">
        <f t="shared" si="0"/>
        <v>25</v>
      </c>
      <c r="AD23" s="133">
        <f t="shared" si="1"/>
        <v>0.625</v>
      </c>
    </row>
    <row r="24" spans="1:30" x14ac:dyDescent="0.25">
      <c r="A24" s="46" t="s">
        <v>29</v>
      </c>
      <c r="B24" s="16">
        <v>1</v>
      </c>
      <c r="C24" s="3">
        <v>1</v>
      </c>
      <c r="D24" s="3">
        <v>1</v>
      </c>
      <c r="E24" s="3">
        <v>1</v>
      </c>
      <c r="F24" s="3">
        <v>0</v>
      </c>
      <c r="G24" s="3">
        <v>1</v>
      </c>
      <c r="H24" s="3">
        <v>0</v>
      </c>
      <c r="I24" s="3">
        <v>1</v>
      </c>
      <c r="J24" s="3">
        <v>0</v>
      </c>
      <c r="K24" s="3">
        <v>0</v>
      </c>
      <c r="L24" s="3">
        <v>1</v>
      </c>
      <c r="M24" s="3">
        <v>1</v>
      </c>
      <c r="N24" s="3">
        <v>1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54">
        <v>3</v>
      </c>
      <c r="AC24" s="51">
        <f t="shared" si="0"/>
        <v>17</v>
      </c>
      <c r="AD24" s="133">
        <f t="shared" si="1"/>
        <v>0.42499999999999999</v>
      </c>
    </row>
    <row r="25" spans="1:30" x14ac:dyDescent="0.25">
      <c r="A25" s="46" t="s">
        <v>30</v>
      </c>
      <c r="B25" s="16">
        <v>1</v>
      </c>
      <c r="C25" s="3">
        <v>1</v>
      </c>
      <c r="D25" s="3">
        <v>1</v>
      </c>
      <c r="E25" s="3">
        <v>1</v>
      </c>
      <c r="F25" s="3">
        <v>0</v>
      </c>
      <c r="G25" s="3">
        <v>1</v>
      </c>
      <c r="H25" s="3">
        <v>2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  <c r="R25" s="3">
        <v>0</v>
      </c>
      <c r="S25" s="3">
        <v>1</v>
      </c>
      <c r="T25" s="3">
        <v>1</v>
      </c>
      <c r="U25" s="3">
        <v>0</v>
      </c>
      <c r="V25" s="4">
        <v>1</v>
      </c>
      <c r="W25" s="4">
        <v>0</v>
      </c>
      <c r="X25" s="4">
        <v>0</v>
      </c>
      <c r="Y25" s="4">
        <v>0</v>
      </c>
      <c r="Z25" s="4">
        <v>2</v>
      </c>
      <c r="AA25" s="4">
        <v>0</v>
      </c>
      <c r="AB25" s="54">
        <v>2</v>
      </c>
      <c r="AC25" s="51">
        <f t="shared" si="0"/>
        <v>22</v>
      </c>
      <c r="AD25" s="133">
        <f t="shared" si="1"/>
        <v>0.55000000000000004</v>
      </c>
    </row>
    <row r="26" spans="1:30" x14ac:dyDescent="0.25">
      <c r="A26" s="46" t="s">
        <v>31</v>
      </c>
      <c r="B26" s="16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2</v>
      </c>
      <c r="I26" s="3">
        <v>0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0</v>
      </c>
      <c r="U26" s="3">
        <v>0</v>
      </c>
      <c r="V26" s="4">
        <v>2</v>
      </c>
      <c r="W26" s="4">
        <v>1</v>
      </c>
      <c r="X26" s="4">
        <v>0</v>
      </c>
      <c r="Y26" s="4">
        <v>0</v>
      </c>
      <c r="Z26" s="4">
        <v>2</v>
      </c>
      <c r="AA26" s="4">
        <v>1</v>
      </c>
      <c r="AB26" s="54">
        <v>5</v>
      </c>
      <c r="AC26" s="51">
        <f t="shared" si="0"/>
        <v>29</v>
      </c>
      <c r="AD26" s="133">
        <f t="shared" si="1"/>
        <v>0.72499999999999998</v>
      </c>
    </row>
    <row r="27" spans="1:30" x14ac:dyDescent="0.25">
      <c r="A27" s="46" t="s">
        <v>32</v>
      </c>
      <c r="B27" s="16">
        <v>1</v>
      </c>
      <c r="C27" s="3">
        <v>1</v>
      </c>
      <c r="D27" s="3">
        <v>0</v>
      </c>
      <c r="E27" s="3">
        <v>1</v>
      </c>
      <c r="F27" s="3">
        <v>0</v>
      </c>
      <c r="G27" s="3">
        <v>1</v>
      </c>
      <c r="H27" s="3">
        <v>1</v>
      </c>
      <c r="I27" s="3">
        <v>1</v>
      </c>
      <c r="J27" s="3">
        <v>1</v>
      </c>
      <c r="K27" s="3">
        <v>0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0</v>
      </c>
      <c r="R27" s="3">
        <v>1</v>
      </c>
      <c r="S27" s="3">
        <v>1</v>
      </c>
      <c r="T27" s="3">
        <v>0</v>
      </c>
      <c r="U27" s="3">
        <v>1</v>
      </c>
      <c r="V27" s="4">
        <v>1</v>
      </c>
      <c r="W27" s="4">
        <v>0</v>
      </c>
      <c r="X27" s="4">
        <v>0</v>
      </c>
      <c r="Y27" s="4">
        <v>0</v>
      </c>
      <c r="Z27" s="4">
        <v>1</v>
      </c>
      <c r="AA27" s="4">
        <v>1</v>
      </c>
      <c r="AB27" s="54">
        <v>5</v>
      </c>
      <c r="AC27" s="51">
        <f t="shared" si="0"/>
        <v>23</v>
      </c>
      <c r="AD27" s="133">
        <f t="shared" si="1"/>
        <v>0.57499999999999996</v>
      </c>
    </row>
    <row r="28" spans="1:30" x14ac:dyDescent="0.25">
      <c r="A28" s="46" t="s">
        <v>33</v>
      </c>
      <c r="B28" s="16">
        <v>1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3">
        <v>1</v>
      </c>
      <c r="M28" s="3">
        <v>1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4">
        <v>0</v>
      </c>
      <c r="W28" s="4">
        <v>0</v>
      </c>
      <c r="X28" s="4">
        <v>0</v>
      </c>
      <c r="Y28" s="4">
        <v>0</v>
      </c>
      <c r="Z28" s="4">
        <v>2</v>
      </c>
      <c r="AA28" s="4">
        <v>0</v>
      </c>
      <c r="AB28" s="54">
        <v>2</v>
      </c>
      <c r="AC28" s="51">
        <f t="shared" si="0"/>
        <v>12</v>
      </c>
      <c r="AD28" s="133">
        <f t="shared" si="1"/>
        <v>0.3</v>
      </c>
    </row>
    <row r="29" spans="1:30" x14ac:dyDescent="0.25">
      <c r="A29" s="46" t="s">
        <v>34</v>
      </c>
      <c r="B29" s="16">
        <v>1</v>
      </c>
      <c r="C29" s="3">
        <v>1</v>
      </c>
      <c r="D29" s="3">
        <v>1</v>
      </c>
      <c r="E29" s="3">
        <v>1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1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4">
        <v>0</v>
      </c>
      <c r="W29" s="4">
        <v>0</v>
      </c>
      <c r="X29" s="4">
        <v>0</v>
      </c>
      <c r="Y29" s="4">
        <v>0</v>
      </c>
      <c r="Z29" s="4">
        <v>2</v>
      </c>
      <c r="AA29" s="4">
        <v>1</v>
      </c>
      <c r="AB29" s="54">
        <v>5</v>
      </c>
      <c r="AC29" s="51">
        <f t="shared" si="0"/>
        <v>17</v>
      </c>
      <c r="AD29" s="133">
        <f t="shared" si="1"/>
        <v>0.42499999999999999</v>
      </c>
    </row>
    <row r="30" spans="1:30" ht="15.75" thickBot="1" x14ac:dyDescent="0.3">
      <c r="A30" s="47" t="s">
        <v>35</v>
      </c>
      <c r="B30" s="28">
        <v>1</v>
      </c>
      <c r="C30" s="29">
        <v>1</v>
      </c>
      <c r="D30" s="29">
        <v>1</v>
      </c>
      <c r="E30" s="29">
        <v>1</v>
      </c>
      <c r="F30" s="29">
        <v>1</v>
      </c>
      <c r="G30" s="29">
        <v>1</v>
      </c>
      <c r="H30" s="29">
        <v>2</v>
      </c>
      <c r="I30" s="29">
        <v>1</v>
      </c>
      <c r="J30" s="29">
        <v>1</v>
      </c>
      <c r="K30" s="29">
        <v>0</v>
      </c>
      <c r="L30" s="29">
        <v>1</v>
      </c>
      <c r="M30" s="29">
        <v>1</v>
      </c>
      <c r="N30" s="29">
        <v>1</v>
      </c>
      <c r="O30" s="29">
        <v>1</v>
      </c>
      <c r="P30" s="29">
        <v>1</v>
      </c>
      <c r="Q30" s="29">
        <v>1</v>
      </c>
      <c r="R30" s="29">
        <v>0</v>
      </c>
      <c r="S30" s="29">
        <v>1</v>
      </c>
      <c r="T30" s="29">
        <v>0</v>
      </c>
      <c r="U30" s="29">
        <v>1</v>
      </c>
      <c r="V30" s="30">
        <v>2</v>
      </c>
      <c r="W30" s="30">
        <v>1</v>
      </c>
      <c r="X30" s="30">
        <v>2</v>
      </c>
      <c r="Y30" s="30">
        <v>2</v>
      </c>
      <c r="Z30" s="30">
        <v>2</v>
      </c>
      <c r="AA30" s="30">
        <v>0</v>
      </c>
      <c r="AB30" s="55">
        <v>4</v>
      </c>
      <c r="AC30" s="51">
        <f t="shared" si="0"/>
        <v>31</v>
      </c>
      <c r="AD30" s="133">
        <f t="shared" si="1"/>
        <v>0.77500000000000002</v>
      </c>
    </row>
    <row r="35" spans="1:28" x14ac:dyDescent="0.25">
      <c r="A35" s="49" t="s">
        <v>162</v>
      </c>
      <c r="B35" s="57">
        <f>SUM(B6:B30)</f>
        <v>25</v>
      </c>
      <c r="C35" s="57">
        <f t="shared" ref="C35:AB35" si="2">SUM(C6:C30)</f>
        <v>25</v>
      </c>
      <c r="D35" s="57">
        <f t="shared" si="2"/>
        <v>23</v>
      </c>
      <c r="E35" s="57">
        <f t="shared" si="2"/>
        <v>22</v>
      </c>
      <c r="F35" s="57">
        <f t="shared" si="2"/>
        <v>4</v>
      </c>
      <c r="G35" s="57">
        <f t="shared" si="2"/>
        <v>21</v>
      </c>
      <c r="H35" s="57">
        <f t="shared" si="2"/>
        <v>29</v>
      </c>
      <c r="I35" s="57">
        <f t="shared" si="2"/>
        <v>11</v>
      </c>
      <c r="J35" s="57">
        <f t="shared" si="2"/>
        <v>20</v>
      </c>
      <c r="K35" s="57">
        <f t="shared" si="2"/>
        <v>6</v>
      </c>
      <c r="L35" s="57">
        <f t="shared" si="2"/>
        <v>16</v>
      </c>
      <c r="M35" s="57">
        <f t="shared" si="2"/>
        <v>24</v>
      </c>
      <c r="N35" s="57">
        <f t="shared" si="2"/>
        <v>18</v>
      </c>
      <c r="O35" s="57">
        <f t="shared" si="2"/>
        <v>17</v>
      </c>
      <c r="P35" s="57">
        <f t="shared" si="2"/>
        <v>24</v>
      </c>
      <c r="Q35" s="57">
        <f t="shared" si="2"/>
        <v>8</v>
      </c>
      <c r="R35" s="57">
        <f t="shared" si="2"/>
        <v>12</v>
      </c>
      <c r="S35" s="57">
        <f t="shared" si="2"/>
        <v>21</v>
      </c>
      <c r="T35" s="57">
        <f t="shared" si="2"/>
        <v>9</v>
      </c>
      <c r="U35" s="57">
        <f t="shared" si="2"/>
        <v>12</v>
      </c>
      <c r="V35" s="57">
        <f t="shared" si="2"/>
        <v>27</v>
      </c>
      <c r="W35" s="57">
        <f t="shared" si="2"/>
        <v>4</v>
      </c>
      <c r="X35" s="57">
        <f t="shared" si="2"/>
        <v>10</v>
      </c>
      <c r="Y35" s="57">
        <f t="shared" si="2"/>
        <v>7</v>
      </c>
      <c r="Z35" s="57">
        <f t="shared" si="2"/>
        <v>31</v>
      </c>
      <c r="AA35" s="57">
        <f t="shared" si="2"/>
        <v>17</v>
      </c>
      <c r="AB35" s="57">
        <f t="shared" si="2"/>
        <v>92</v>
      </c>
    </row>
    <row r="36" spans="1:28" x14ac:dyDescent="0.25">
      <c r="A36" s="49" t="s">
        <v>163</v>
      </c>
      <c r="B36" s="57">
        <f>AVERAGE(B6:B30)</f>
        <v>1</v>
      </c>
      <c r="C36" s="57">
        <f t="shared" ref="C36:AB36" si="3">AVERAGE(C6:C30)</f>
        <v>1</v>
      </c>
      <c r="D36" s="57">
        <f t="shared" si="3"/>
        <v>0.92</v>
      </c>
      <c r="E36" s="57">
        <f t="shared" si="3"/>
        <v>0.88</v>
      </c>
      <c r="F36" s="57">
        <f t="shared" si="3"/>
        <v>0.16</v>
      </c>
      <c r="G36" s="57">
        <f t="shared" si="3"/>
        <v>0.84</v>
      </c>
      <c r="H36" s="57">
        <f t="shared" si="3"/>
        <v>1.1599999999999999</v>
      </c>
      <c r="I36" s="57">
        <f t="shared" si="3"/>
        <v>0.44</v>
      </c>
      <c r="J36" s="57">
        <f t="shared" si="3"/>
        <v>0.8</v>
      </c>
      <c r="K36" s="57">
        <f t="shared" si="3"/>
        <v>0.24</v>
      </c>
      <c r="L36" s="57">
        <f t="shared" si="3"/>
        <v>0.64</v>
      </c>
      <c r="M36" s="57">
        <f t="shared" si="3"/>
        <v>0.96</v>
      </c>
      <c r="N36" s="57">
        <f t="shared" si="3"/>
        <v>0.72</v>
      </c>
      <c r="O36" s="57">
        <f t="shared" si="3"/>
        <v>0.68</v>
      </c>
      <c r="P36" s="57">
        <f t="shared" si="3"/>
        <v>0.96</v>
      </c>
      <c r="Q36" s="57">
        <f t="shared" si="3"/>
        <v>0.32</v>
      </c>
      <c r="R36" s="57">
        <f t="shared" si="3"/>
        <v>0.48</v>
      </c>
      <c r="S36" s="57">
        <f t="shared" si="3"/>
        <v>0.84</v>
      </c>
      <c r="T36" s="57">
        <f t="shared" si="3"/>
        <v>0.36</v>
      </c>
      <c r="U36" s="57">
        <f t="shared" si="3"/>
        <v>0.48</v>
      </c>
      <c r="V36" s="57">
        <f t="shared" si="3"/>
        <v>1.08</v>
      </c>
      <c r="W36" s="57">
        <f t="shared" si="3"/>
        <v>0.16</v>
      </c>
      <c r="X36" s="57">
        <f t="shared" si="3"/>
        <v>0.4</v>
      </c>
      <c r="Y36" s="57">
        <f t="shared" si="3"/>
        <v>0.28000000000000003</v>
      </c>
      <c r="Z36" s="57">
        <f t="shared" si="3"/>
        <v>1.24</v>
      </c>
      <c r="AA36" s="57">
        <f t="shared" si="3"/>
        <v>0.68</v>
      </c>
      <c r="AB36" s="57">
        <f t="shared" si="3"/>
        <v>3.68</v>
      </c>
    </row>
    <row r="37" spans="1:28" ht="30" x14ac:dyDescent="0.25">
      <c r="A37" s="50" t="s">
        <v>164</v>
      </c>
      <c r="B37" s="57">
        <f>B35/(B5*$C$1)</f>
        <v>1</v>
      </c>
      <c r="C37" s="57">
        <f t="shared" ref="C37:AB37" si="4">C35/(C5*$C$1)</f>
        <v>1</v>
      </c>
      <c r="D37" s="57">
        <f>D35/(D5*$C$1)</f>
        <v>0.92</v>
      </c>
      <c r="E37" s="57">
        <f t="shared" si="4"/>
        <v>0.88</v>
      </c>
      <c r="F37" s="57">
        <f t="shared" si="4"/>
        <v>0.16</v>
      </c>
      <c r="G37" s="57">
        <f t="shared" si="4"/>
        <v>0.84</v>
      </c>
      <c r="H37" s="57">
        <f t="shared" si="4"/>
        <v>0.57999999999999996</v>
      </c>
      <c r="I37" s="57">
        <f t="shared" si="4"/>
        <v>0.44</v>
      </c>
      <c r="J37" s="57">
        <f t="shared" si="4"/>
        <v>0.8</v>
      </c>
      <c r="K37" s="57">
        <f t="shared" si="4"/>
        <v>0.24</v>
      </c>
      <c r="L37" s="57">
        <f t="shared" si="4"/>
        <v>0.64</v>
      </c>
      <c r="M37" s="57">
        <f t="shared" si="4"/>
        <v>0.96</v>
      </c>
      <c r="N37" s="57">
        <f t="shared" si="4"/>
        <v>0.72</v>
      </c>
      <c r="O37" s="57">
        <f t="shared" si="4"/>
        <v>0.68</v>
      </c>
      <c r="P37" s="57">
        <f t="shared" si="4"/>
        <v>0.96</v>
      </c>
      <c r="Q37" s="57">
        <f t="shared" si="4"/>
        <v>0.32</v>
      </c>
      <c r="R37" s="57">
        <f t="shared" si="4"/>
        <v>0.48</v>
      </c>
      <c r="S37" s="57">
        <f t="shared" si="4"/>
        <v>0.84</v>
      </c>
      <c r="T37" s="57">
        <f t="shared" si="4"/>
        <v>0.36</v>
      </c>
      <c r="U37" s="57">
        <f t="shared" si="4"/>
        <v>0.48</v>
      </c>
      <c r="V37" s="57">
        <f t="shared" si="4"/>
        <v>0.36</v>
      </c>
      <c r="W37" s="57">
        <f t="shared" si="4"/>
        <v>0.16</v>
      </c>
      <c r="X37" s="57">
        <f t="shared" si="4"/>
        <v>0.2</v>
      </c>
      <c r="Y37" s="57">
        <f t="shared" si="4"/>
        <v>0.14000000000000001</v>
      </c>
      <c r="Z37" s="57">
        <f t="shared" si="4"/>
        <v>0.62</v>
      </c>
      <c r="AA37" s="57">
        <f t="shared" si="4"/>
        <v>0.68</v>
      </c>
      <c r="AB37" s="57">
        <f t="shared" si="4"/>
        <v>0.46</v>
      </c>
    </row>
    <row r="38" spans="1:28" ht="48" customHeight="1" x14ac:dyDescent="0.25">
      <c r="A38" s="50" t="s">
        <v>165</v>
      </c>
      <c r="B38" s="134" t="str" cm="1">
        <f t="array" ref="B38">_xlfn.IFS(B37&gt;=0.9,"bardzo łatwe",B37&gt;=0.7,"łatwe",B37&gt;=0.5,"umierkowanie trudne",B37&gt;=0.2,"trudne",B37,"bardzo trudne")</f>
        <v>bardzo łatwe</v>
      </c>
      <c r="C38" s="134" t="str" cm="1">
        <f t="array" ref="C38">_xlfn.IFS(C37&gt;=0.9,"bardzo łatwe",C37&gt;=0.7,"łatwe",C37&gt;=0.5,"umierkowanie trudne",C37&gt;=0.2,"trudne",C37,"bardzo trudne")</f>
        <v>bardzo łatwe</v>
      </c>
      <c r="D38" s="134" t="str" cm="1">
        <f t="array" ref="D38">_xlfn.IFS(D37&gt;=0.9,"bardzo łatwe",D37&gt;=0.7,"łatwe",D37&gt;=0.5,"umierkowanie trudne",D37&gt;=0.2,"trudne",D37,"bardzo trudne")</f>
        <v>bardzo łatwe</v>
      </c>
      <c r="E38" s="134" t="str" cm="1">
        <f t="array" ref="E38">_xlfn.IFS(E37&gt;=0.9,"bardzo łatwe",E37&gt;=0.7,"łatwe",E37&gt;=0.5,"umierkowanie trudne",E37&gt;=0.2,"trudne",E37,"bardzo trudne")</f>
        <v>łatwe</v>
      </c>
      <c r="F38" s="134" t="str" cm="1">
        <f t="array" ref="F38">_xlfn.IFS(F37&gt;=0.9,"bardzo łatwe",F37&gt;=0.7,"łatwe",F37&gt;=0.5,"umierkowanie trudne",F37&gt;=0.2,"trudne",F37,"bardzo trudne")</f>
        <v>bardzo trudne</v>
      </c>
      <c r="G38" s="134" t="str" cm="1">
        <f t="array" ref="G38">_xlfn.IFS(G37&gt;=0.9,"bardzo łatwe",G37&gt;=0.7,"łatwe",G37&gt;=0.5,"umierkowanie trudne",G37&gt;=0.2,"trudne",G37,"bardzo trudne")</f>
        <v>łatwe</v>
      </c>
      <c r="H38" s="134" t="str" cm="1">
        <f t="array" ref="H38">_xlfn.IFS(H37&gt;=0.9,"bardzo łatwe",H37&gt;=0.7,"łatwe",H37&gt;=0.5,"umierkowanie trudne",H37&gt;=0.2,"trudne",H37,"bardzo trudne")</f>
        <v>umierkowanie trudne</v>
      </c>
      <c r="I38" s="134" t="str" cm="1">
        <f t="array" ref="I38">_xlfn.IFS(I37&gt;=0.9,"bardzo łatwe",I37&gt;=0.7,"łatwe",I37&gt;=0.5,"umierkowanie trudne",I37&gt;=0.2,"trudne",I37,"bardzo trudne")</f>
        <v>trudne</v>
      </c>
      <c r="J38" s="134" t="str" cm="1">
        <f t="array" ref="J38">_xlfn.IFS(J37&gt;=0.9,"bardzo łatwe",J37&gt;=0.7,"łatwe",J37&gt;=0.5,"umierkowanie trudne",J37&gt;=0.2,"trudne",J37,"bardzo trudne")</f>
        <v>łatwe</v>
      </c>
      <c r="K38" s="134" t="str" cm="1">
        <f t="array" ref="K38">_xlfn.IFS(K37&gt;=0.9,"bardzo łatwe",K37&gt;=0.7,"łatwe",K37&gt;=0.5,"umierkowanie trudne",K37&gt;=0.2,"trudne",K37,"bardzo trudne")</f>
        <v>trudne</v>
      </c>
      <c r="L38" s="134" t="str" cm="1">
        <f t="array" ref="L38">_xlfn.IFS(L37&gt;=0.9,"bardzo łatwe",L37&gt;=0.7,"łatwe",L37&gt;=0.5,"umierkowanie trudne",L37&gt;=0.2,"trudne",L37,"bardzo trudne")</f>
        <v>umierkowanie trudne</v>
      </c>
      <c r="M38" s="134" t="str" cm="1">
        <f t="array" ref="M38">_xlfn.IFS(M37&gt;=0.9,"bardzo łatwe",M37&gt;=0.7,"łatwe",M37&gt;=0.5,"umierkowanie trudne",M37&gt;=0.2,"trudne",M37,"bardzo trudne")</f>
        <v>bardzo łatwe</v>
      </c>
      <c r="N38" s="134" t="str" cm="1">
        <f t="array" ref="N38">_xlfn.IFS(N37&gt;=0.9,"bardzo łatwe",N37&gt;=0.7,"łatwe",N37&gt;=0.5,"umierkowanie trudne",N37&gt;=0.2,"trudne",N37,"bardzo trudne")</f>
        <v>łatwe</v>
      </c>
      <c r="O38" s="134" t="str" cm="1">
        <f t="array" ref="O38">_xlfn.IFS(O37&gt;=0.9,"bardzo łatwe",O37&gt;=0.7,"łatwe",O37&gt;=0.5,"umierkowanie trudne",O37&gt;=0.2,"trudne",O37,"bardzo trudne")</f>
        <v>umierkowanie trudne</v>
      </c>
      <c r="P38" s="134" t="str" cm="1">
        <f t="array" ref="P38">_xlfn.IFS(P37&gt;=0.9,"bardzo łatwe",P37&gt;=0.7,"łatwe",P37&gt;=0.5,"umierkowanie trudne",P37&gt;=0.2,"trudne",P37,"bardzo trudne")</f>
        <v>bardzo łatwe</v>
      </c>
      <c r="Q38" s="134" t="str" cm="1">
        <f t="array" ref="Q38">_xlfn.IFS(Q37&gt;=0.9,"bardzo łatwe",Q37&gt;=0.7,"łatwe",Q37&gt;=0.5,"umierkowanie trudne",Q37&gt;=0.2,"trudne",Q37,"bardzo trudne")</f>
        <v>trudne</v>
      </c>
      <c r="R38" s="134" t="str" cm="1">
        <f t="array" ref="R38">_xlfn.IFS(R37&gt;=0.9,"bardzo łatwe",R37&gt;=0.7,"łatwe",R37&gt;=0.5,"umierkowanie trudne",R37&gt;=0.2,"trudne",R37,"bardzo trudne")</f>
        <v>trudne</v>
      </c>
      <c r="S38" s="134" t="str" cm="1">
        <f t="array" ref="S38">_xlfn.IFS(S37&gt;=0.9,"bardzo łatwe",S37&gt;=0.7,"łatwe",S37&gt;=0.5,"umierkowanie trudne",S37&gt;=0.2,"trudne",S37,"bardzo trudne")</f>
        <v>łatwe</v>
      </c>
      <c r="T38" s="134" t="str" cm="1">
        <f t="array" ref="T38">_xlfn.IFS(T37&gt;=0.9,"bardzo łatwe",T37&gt;=0.7,"łatwe",T37&gt;=0.5,"umierkowanie trudne",T37&gt;=0.2,"trudne",T37,"bardzo trudne")</f>
        <v>trudne</v>
      </c>
      <c r="U38" s="134" t="str" cm="1">
        <f t="array" ref="U38">_xlfn.IFS(U37&gt;=0.9,"bardzo łatwe",U37&gt;=0.7,"łatwe",U37&gt;=0.5,"umierkowanie trudne",U37&gt;=0.2,"trudne",U37,"bardzo trudne")</f>
        <v>trudne</v>
      </c>
      <c r="V38" s="134" t="str" cm="1">
        <f t="array" ref="V38">_xlfn.IFS(V37&gt;=0.9,"bardzo łatwe",V37&gt;=0.7,"łatwe",V37&gt;=0.5,"umierkowanie trudne",V37&gt;=0.2,"trudne",V37,"bardzo trudne")</f>
        <v>trudne</v>
      </c>
      <c r="W38" s="134" t="str" cm="1">
        <f t="array" ref="W38">_xlfn.IFS(W37&gt;=0.9,"bardzo łatwe",W37&gt;=0.7,"łatwe",W37&gt;=0.5,"umierkowanie trudne",W37&gt;=0.2,"trudne",W37,"bardzo trudne")</f>
        <v>bardzo trudne</v>
      </c>
      <c r="X38" s="134" t="str" cm="1">
        <f t="array" ref="X38">_xlfn.IFS(X37&gt;=0.9,"bardzo łatwe",X37&gt;=0.7,"łatwe",X37&gt;=0.5,"umierkowanie trudne",X37&gt;=0.2,"trudne",X37,"bardzo trudne")</f>
        <v>trudne</v>
      </c>
      <c r="Y38" s="134" t="str" cm="1">
        <f t="array" ref="Y38">_xlfn.IFS(Y37&gt;=0.9,"bardzo łatwe",Y37&gt;=0.7,"łatwe",Y37&gt;=0.5,"umierkowanie trudne",Y37&gt;=0.2,"trudne",Y37,"bardzo trudne")</f>
        <v>bardzo trudne</v>
      </c>
      <c r="Z38" s="134" t="str" cm="1">
        <f t="array" ref="Z38">_xlfn.IFS(Z37&gt;=0.9,"bardzo łatwe",Z37&gt;=0.7,"łatwe",Z37&gt;=0.5,"umierkowanie trudne",Z37&gt;=0.2,"trudne",Z37,"bardzo trudne")</f>
        <v>umierkowanie trudne</v>
      </c>
      <c r="AA38" s="134" t="str" cm="1">
        <f t="array" ref="AA38">_xlfn.IFS(AA37&gt;=0.9,"bardzo łatwe",AA37&gt;=0.7,"łatwe",AA37&gt;=0.5,"umierkowanie trudne",AA37&gt;=0.2,"trudne",AA37,"bardzo trudne")</f>
        <v>umierkowanie trudne</v>
      </c>
      <c r="AB38" s="134" t="str" cm="1">
        <f t="array" ref="AB38">_xlfn.IFS(AB37&gt;=0.9,"bardzo łatwe",AB37&gt;=0.7,"łatwe",AB37&gt;=0.5,"umierkowanie trudne",AB37&gt;=0.2,"trudne",AB37,"bardzo trudne")</f>
        <v>trudne</v>
      </c>
    </row>
    <row r="44" spans="1:28" ht="15.75" thickBot="1" x14ac:dyDescent="0.3"/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>
        <f>$C$1*SUMIFS($B$5:$AB$5,$B$4:$AB$4,B46)</f>
        <v>250</v>
      </c>
      <c r="C47" s="72">
        <f t="shared" ref="C47:F47" si="5">$C$1*SUMIFS($B$5:$AB$5,$B$4:$AB$4,C46)</f>
        <v>200</v>
      </c>
      <c r="D47" s="72">
        <f t="shared" si="5"/>
        <v>225</v>
      </c>
      <c r="E47" s="72">
        <f t="shared" si="5"/>
        <v>100</v>
      </c>
      <c r="F47" s="72">
        <f t="shared" si="5"/>
        <v>225</v>
      </c>
      <c r="G47" s="72">
        <f>SUMIFS($B$35:$AB$35,$B$4:$AB$4,G46)</f>
        <v>192</v>
      </c>
      <c r="H47" s="72">
        <f t="shared" ref="H47:K47" si="6">SUMIFS($B$35:$AB$35,$B$4:$AB$4,H46)</f>
        <v>92</v>
      </c>
      <c r="I47" s="72">
        <f t="shared" si="6"/>
        <v>84</v>
      </c>
      <c r="J47" s="72">
        <f t="shared" si="6"/>
        <v>62</v>
      </c>
      <c r="K47" s="72">
        <f t="shared" si="6"/>
        <v>105</v>
      </c>
      <c r="L47" s="72">
        <f>G47/(B47)</f>
        <v>0.76800000000000002</v>
      </c>
      <c r="M47" s="72">
        <f t="shared" ref="M47:P47" si="7">H47/(C47)</f>
        <v>0.46</v>
      </c>
      <c r="N47" s="72">
        <f t="shared" si="7"/>
        <v>0.37333333333333335</v>
      </c>
      <c r="O47" s="72">
        <f t="shared" si="7"/>
        <v>0.62</v>
      </c>
      <c r="P47" s="72">
        <f t="shared" si="7"/>
        <v>0.46666666666666667</v>
      </c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>
        <f>COUNTA(A6:A30)</f>
        <v>25</v>
      </c>
    </row>
    <row r="53" spans="2:6" x14ac:dyDescent="0.25">
      <c r="B53" s="89" t="s">
        <v>173</v>
      </c>
      <c r="C53" s="87"/>
      <c r="D53" s="87"/>
      <c r="E53" s="87"/>
      <c r="F53" s="90">
        <f>SUM(B35:AB35)/(SUM(B5:AB5)*C1)</f>
        <v>0.53500000000000003</v>
      </c>
    </row>
    <row r="54" spans="2:6" x14ac:dyDescent="0.25">
      <c r="B54" s="89" t="s">
        <v>174</v>
      </c>
      <c r="C54" s="87"/>
      <c r="D54" s="87"/>
      <c r="E54" s="87"/>
      <c r="F54" s="90">
        <f>AVERAGE(AC6:AC30)</f>
        <v>21.4</v>
      </c>
    </row>
    <row r="55" spans="2:6" x14ac:dyDescent="0.25">
      <c r="B55" s="89" t="s">
        <v>175</v>
      </c>
      <c r="C55" s="87"/>
      <c r="D55" s="87"/>
      <c r="E55" s="87"/>
      <c r="F55" s="90">
        <f>MEDIAN(AC6:AC30)</f>
        <v>22</v>
      </c>
    </row>
    <row r="56" spans="2:6" x14ac:dyDescent="0.25">
      <c r="B56" s="89" t="s">
        <v>176</v>
      </c>
      <c r="C56" s="87"/>
      <c r="D56" s="87"/>
      <c r="E56" s="87"/>
      <c r="F56" s="90">
        <f>_xlfn.MODE.SNGL(AC6:AC30)</f>
        <v>22</v>
      </c>
    </row>
    <row r="57" spans="2:6" x14ac:dyDescent="0.25">
      <c r="B57" s="89" t="s">
        <v>177</v>
      </c>
      <c r="C57" s="87"/>
      <c r="D57" s="87"/>
      <c r="E57" s="87"/>
      <c r="F57" s="90">
        <f>MAX(AC6:AC30)</f>
        <v>35</v>
      </c>
    </row>
    <row r="58" spans="2:6" x14ac:dyDescent="0.25">
      <c r="B58" s="89" t="s">
        <v>178</v>
      </c>
      <c r="C58" s="87"/>
      <c r="D58" s="87"/>
      <c r="E58" s="87"/>
      <c r="F58" s="90">
        <f>MIN(AC6:AC30)</f>
        <v>10</v>
      </c>
    </row>
    <row r="59" spans="2:6" x14ac:dyDescent="0.25">
      <c r="B59" s="89" t="s">
        <v>179</v>
      </c>
      <c r="C59" s="87"/>
      <c r="D59" s="87"/>
      <c r="E59" s="87"/>
      <c r="F59" s="90">
        <f>F57-F58</f>
        <v>25</v>
      </c>
    </row>
    <row r="60" spans="2:6" ht="15.75" thickBot="1" x14ac:dyDescent="0.3">
      <c r="B60" s="88" t="s">
        <v>180</v>
      </c>
      <c r="C60" s="84"/>
      <c r="D60" s="84"/>
      <c r="E60" s="84"/>
      <c r="F60" s="85">
        <f>_xlfn.STDEV.S(AC6:AC30)</f>
        <v>6.9641941385920596</v>
      </c>
    </row>
  </sheetData>
  <pageMargins left="0.7" right="0.7" top="0.75" bottom="0.75" header="0.3" footer="0.3"/>
  <pageSetup paperSize="9" orientation="portrait" horizontalDpi="0" verticalDpi="0" r:id="rId1"/>
  <ignoredErrors>
    <ignoredError sqref="B35:B3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F71B-F135-4348-AC08-2717B5566539}">
  <dimension ref="A1:AD60"/>
  <sheetViews>
    <sheetView tabSelected="1" topLeftCell="A8" zoomScale="70" zoomScaleNormal="70" workbookViewId="0">
      <selection activeCell="F57" sqref="F57"/>
    </sheetView>
  </sheetViews>
  <sheetFormatPr defaultRowHeight="15" x14ac:dyDescent="0.25"/>
  <cols>
    <col min="1" max="1" width="18.7109375" customWidth="1"/>
    <col min="7" max="7" width="10" bestFit="1" customWidth="1"/>
  </cols>
  <sheetData>
    <row r="1" spans="1:30" ht="30.75" thickBot="1" x14ac:dyDescent="0.3">
      <c r="A1" s="6" t="s">
        <v>37</v>
      </c>
      <c r="B1" s="64" t="s">
        <v>169</v>
      </c>
      <c r="C1" s="63">
        <v>26</v>
      </c>
    </row>
    <row r="2" spans="1:30" ht="15.75" thickBot="1" x14ac:dyDescent="0.3"/>
    <row r="3" spans="1:30" x14ac:dyDescent="0.25">
      <c r="A3" s="39" t="s">
        <v>0</v>
      </c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40" t="s">
        <v>1</v>
      </c>
      <c r="W3" s="40" t="s">
        <v>2</v>
      </c>
      <c r="X3" s="40" t="s">
        <v>3</v>
      </c>
      <c r="Y3" s="41" t="s">
        <v>4</v>
      </c>
      <c r="Z3" s="40">
        <v>23</v>
      </c>
      <c r="AA3" s="40">
        <v>24</v>
      </c>
      <c r="AB3" s="42">
        <v>25</v>
      </c>
    </row>
    <row r="4" spans="1:30" x14ac:dyDescent="0.25">
      <c r="A4" s="43" t="s">
        <v>5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7</v>
      </c>
      <c r="T4" s="1" t="s">
        <v>9</v>
      </c>
      <c r="U4" s="1" t="s">
        <v>9</v>
      </c>
      <c r="V4" s="2" t="s">
        <v>7</v>
      </c>
      <c r="W4" s="2" t="s">
        <v>9</v>
      </c>
      <c r="X4" s="2" t="s">
        <v>7</v>
      </c>
      <c r="Y4" s="2" t="s">
        <v>9</v>
      </c>
      <c r="Z4" s="2" t="s">
        <v>6</v>
      </c>
      <c r="AA4" s="2" t="s">
        <v>6</v>
      </c>
      <c r="AB4" s="11" t="s">
        <v>10</v>
      </c>
    </row>
    <row r="5" spans="1:30" ht="15.75" thickBot="1" x14ac:dyDescent="0.3">
      <c r="A5" s="44" t="s">
        <v>120</v>
      </c>
      <c r="B5" s="12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2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3">
        <v>3</v>
      </c>
      <c r="W5" s="13">
        <v>1</v>
      </c>
      <c r="X5" s="13">
        <v>2</v>
      </c>
      <c r="Y5" s="13">
        <v>2</v>
      </c>
      <c r="Z5" s="13">
        <v>2</v>
      </c>
      <c r="AA5" s="13">
        <v>1</v>
      </c>
      <c r="AB5" s="14">
        <v>8</v>
      </c>
      <c r="AC5" s="56" t="s">
        <v>162</v>
      </c>
      <c r="AD5" s="56" t="s">
        <v>197</v>
      </c>
    </row>
    <row r="6" spans="1:30" x14ac:dyDescent="0.25">
      <c r="A6" s="45" t="s">
        <v>38</v>
      </c>
      <c r="B6" s="23">
        <v>1</v>
      </c>
      <c r="C6" s="18">
        <v>1</v>
      </c>
      <c r="D6" s="18">
        <v>1</v>
      </c>
      <c r="E6" s="18">
        <v>0</v>
      </c>
      <c r="F6" s="18">
        <v>1</v>
      </c>
      <c r="G6" s="18">
        <v>1</v>
      </c>
      <c r="H6" s="18">
        <v>2</v>
      </c>
      <c r="I6" s="18">
        <v>0</v>
      </c>
      <c r="J6" s="18">
        <v>1</v>
      </c>
      <c r="K6" s="18">
        <v>0</v>
      </c>
      <c r="L6" s="18">
        <v>0</v>
      </c>
      <c r="M6" s="18">
        <v>1</v>
      </c>
      <c r="N6" s="18">
        <v>1</v>
      </c>
      <c r="O6" s="18">
        <v>1</v>
      </c>
      <c r="P6" s="18">
        <v>1</v>
      </c>
      <c r="Q6" s="18">
        <v>0</v>
      </c>
      <c r="R6" s="18">
        <v>0</v>
      </c>
      <c r="S6" s="18">
        <v>0</v>
      </c>
      <c r="T6" s="18">
        <v>1</v>
      </c>
      <c r="U6" s="18">
        <v>1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25">
        <v>0</v>
      </c>
      <c r="AC6" s="51">
        <f>SUM(B6:AB6)</f>
        <v>14</v>
      </c>
      <c r="AD6" s="133">
        <f>AC6/40</f>
        <v>0.35</v>
      </c>
    </row>
    <row r="7" spans="1:30" x14ac:dyDescent="0.25">
      <c r="A7" s="46" t="s">
        <v>39</v>
      </c>
      <c r="B7" s="16">
        <v>1</v>
      </c>
      <c r="C7" s="3">
        <v>0</v>
      </c>
      <c r="D7" s="3">
        <v>1</v>
      </c>
      <c r="E7" s="3">
        <v>1</v>
      </c>
      <c r="F7" s="3">
        <v>0</v>
      </c>
      <c r="G7" s="3">
        <v>1</v>
      </c>
      <c r="H7" s="3">
        <v>0</v>
      </c>
      <c r="I7" s="3">
        <v>0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4">
        <v>0</v>
      </c>
      <c r="W7" s="4">
        <v>0</v>
      </c>
      <c r="X7" s="4">
        <v>1</v>
      </c>
      <c r="Y7" s="4">
        <v>0</v>
      </c>
      <c r="Z7" s="4">
        <v>1</v>
      </c>
      <c r="AA7" s="4">
        <v>1</v>
      </c>
      <c r="AB7" s="26">
        <v>4</v>
      </c>
      <c r="AC7" s="51">
        <f t="shared" ref="AC7:AC31" si="0">SUM(B7:AB7)</f>
        <v>19</v>
      </c>
      <c r="AD7" s="133">
        <f t="shared" ref="AD7:AD31" si="1">AC7/40</f>
        <v>0.47499999999999998</v>
      </c>
    </row>
    <row r="8" spans="1:30" x14ac:dyDescent="0.25">
      <c r="A8" s="46" t="s">
        <v>40</v>
      </c>
      <c r="B8" s="16">
        <v>1</v>
      </c>
      <c r="C8" s="3">
        <v>1</v>
      </c>
      <c r="D8" s="3">
        <v>1</v>
      </c>
      <c r="E8" s="3">
        <v>0</v>
      </c>
      <c r="F8" s="3">
        <v>1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1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4">
        <v>0</v>
      </c>
      <c r="Y8" s="4">
        <v>0</v>
      </c>
      <c r="Z8" s="4">
        <v>2</v>
      </c>
      <c r="AA8" s="4">
        <v>0</v>
      </c>
      <c r="AB8" s="26">
        <v>3</v>
      </c>
      <c r="AC8" s="51">
        <f t="shared" si="0"/>
        <v>14</v>
      </c>
      <c r="AD8" s="133">
        <f t="shared" si="1"/>
        <v>0.35</v>
      </c>
    </row>
    <row r="9" spans="1:30" x14ac:dyDescent="0.25">
      <c r="A9" s="46" t="s">
        <v>41</v>
      </c>
      <c r="B9" s="16">
        <v>1</v>
      </c>
      <c r="C9" s="3">
        <v>1</v>
      </c>
      <c r="D9" s="3">
        <v>1</v>
      </c>
      <c r="E9" s="3">
        <v>1</v>
      </c>
      <c r="F9" s="3">
        <v>0</v>
      </c>
      <c r="G9" s="3">
        <v>1</v>
      </c>
      <c r="H9" s="3">
        <v>2</v>
      </c>
      <c r="I9" s="3">
        <v>0</v>
      </c>
      <c r="J9" s="3">
        <v>1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0</v>
      </c>
      <c r="R9" s="3">
        <v>1</v>
      </c>
      <c r="S9" s="3">
        <v>1</v>
      </c>
      <c r="T9" s="3">
        <v>1</v>
      </c>
      <c r="U9" s="3">
        <v>0</v>
      </c>
      <c r="V9" s="4">
        <v>1</v>
      </c>
      <c r="W9" s="4">
        <v>0</v>
      </c>
      <c r="X9" s="4">
        <v>1</v>
      </c>
      <c r="Y9" s="4">
        <v>0</v>
      </c>
      <c r="Z9" s="4">
        <v>2</v>
      </c>
      <c r="AA9" s="4">
        <v>1</v>
      </c>
      <c r="AB9" s="26">
        <v>0</v>
      </c>
      <c r="AC9" s="51">
        <f t="shared" si="0"/>
        <v>21</v>
      </c>
      <c r="AD9" s="133">
        <f t="shared" si="1"/>
        <v>0.52500000000000002</v>
      </c>
    </row>
    <row r="10" spans="1:30" x14ac:dyDescent="0.25">
      <c r="A10" s="46" t="s">
        <v>42</v>
      </c>
      <c r="B10" s="16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2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0</v>
      </c>
      <c r="U10" s="3">
        <v>1</v>
      </c>
      <c r="V10" s="4">
        <v>1</v>
      </c>
      <c r="W10" s="4">
        <v>0</v>
      </c>
      <c r="X10" s="4">
        <v>0</v>
      </c>
      <c r="Y10" s="4">
        <v>0</v>
      </c>
      <c r="Z10" s="4">
        <v>2</v>
      </c>
      <c r="AA10" s="4">
        <v>1</v>
      </c>
      <c r="AB10" s="26">
        <v>3</v>
      </c>
      <c r="AC10" s="51">
        <f t="shared" si="0"/>
        <v>26</v>
      </c>
      <c r="AD10" s="133">
        <f t="shared" si="1"/>
        <v>0.65</v>
      </c>
    </row>
    <row r="11" spans="1:30" x14ac:dyDescent="0.25">
      <c r="A11" s="46" t="s">
        <v>43</v>
      </c>
      <c r="B11" s="16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2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4">
        <v>2</v>
      </c>
      <c r="W11" s="4">
        <v>1</v>
      </c>
      <c r="X11" s="4">
        <v>1</v>
      </c>
      <c r="Y11" s="4">
        <v>0</v>
      </c>
      <c r="Z11" s="4">
        <v>1</v>
      </c>
      <c r="AA11" s="4">
        <v>1</v>
      </c>
      <c r="AB11" s="26">
        <v>5</v>
      </c>
      <c r="AC11" s="51">
        <f t="shared" si="0"/>
        <v>31</v>
      </c>
      <c r="AD11" s="133">
        <f t="shared" si="1"/>
        <v>0.77500000000000002</v>
      </c>
    </row>
    <row r="12" spans="1:30" x14ac:dyDescent="0.25">
      <c r="A12" s="46" t="s">
        <v>44</v>
      </c>
      <c r="B12" s="16">
        <v>1</v>
      </c>
      <c r="C12" s="3">
        <v>0</v>
      </c>
      <c r="D12" s="3">
        <v>0</v>
      </c>
      <c r="E12" s="3">
        <v>1</v>
      </c>
      <c r="F12" s="3">
        <v>1</v>
      </c>
      <c r="G12" s="3">
        <v>1</v>
      </c>
      <c r="H12" s="3">
        <v>2</v>
      </c>
      <c r="I12" s="3">
        <v>0</v>
      </c>
      <c r="J12" s="3">
        <v>1</v>
      </c>
      <c r="K12" s="3">
        <v>1</v>
      </c>
      <c r="L12" s="3">
        <v>0</v>
      </c>
      <c r="M12" s="3">
        <v>1</v>
      </c>
      <c r="N12" s="3">
        <v>0</v>
      </c>
      <c r="O12" s="3">
        <v>1</v>
      </c>
      <c r="P12" s="3">
        <v>1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4">
        <v>0</v>
      </c>
      <c r="W12" s="4">
        <v>0</v>
      </c>
      <c r="X12" s="4">
        <v>0</v>
      </c>
      <c r="Y12" s="4">
        <v>0</v>
      </c>
      <c r="Z12" s="4">
        <v>2</v>
      </c>
      <c r="AA12" s="4">
        <v>0</v>
      </c>
      <c r="AB12" s="26">
        <v>0</v>
      </c>
      <c r="AC12" s="51">
        <f t="shared" si="0"/>
        <v>14</v>
      </c>
      <c r="AD12" s="133">
        <f t="shared" si="1"/>
        <v>0.35</v>
      </c>
    </row>
    <row r="13" spans="1:30" x14ac:dyDescent="0.25">
      <c r="A13" s="46" t="s">
        <v>45</v>
      </c>
      <c r="B13" s="16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0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0</v>
      </c>
      <c r="P13" s="3">
        <v>1</v>
      </c>
      <c r="Q13" s="3">
        <v>0</v>
      </c>
      <c r="R13" s="3">
        <v>1</v>
      </c>
      <c r="S13" s="3">
        <v>1</v>
      </c>
      <c r="T13" s="3">
        <v>0</v>
      </c>
      <c r="U13" s="3">
        <v>0</v>
      </c>
      <c r="V13" s="4">
        <v>1</v>
      </c>
      <c r="W13" s="4">
        <v>0</v>
      </c>
      <c r="X13" s="4">
        <v>0</v>
      </c>
      <c r="Y13" s="4">
        <v>0</v>
      </c>
      <c r="Z13" s="4">
        <v>2</v>
      </c>
      <c r="AA13" s="4">
        <v>0</v>
      </c>
      <c r="AB13" s="26">
        <v>5</v>
      </c>
      <c r="AC13" s="51">
        <f t="shared" si="0"/>
        <v>22</v>
      </c>
      <c r="AD13" s="133">
        <f t="shared" si="1"/>
        <v>0.55000000000000004</v>
      </c>
    </row>
    <row r="14" spans="1:30" x14ac:dyDescent="0.25">
      <c r="A14" s="46" t="s">
        <v>46</v>
      </c>
      <c r="B14" s="16">
        <v>1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2</v>
      </c>
      <c r="I14" s="3">
        <v>1</v>
      </c>
      <c r="J14" s="3">
        <v>1</v>
      </c>
      <c r="K14" s="3">
        <v>0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0</v>
      </c>
      <c r="R14" s="3">
        <v>1</v>
      </c>
      <c r="S14" s="3">
        <v>1</v>
      </c>
      <c r="T14" s="3">
        <v>0</v>
      </c>
      <c r="U14" s="3">
        <v>0</v>
      </c>
      <c r="V14" s="4">
        <v>0</v>
      </c>
      <c r="W14" s="4">
        <v>0</v>
      </c>
      <c r="X14" s="4">
        <v>0</v>
      </c>
      <c r="Y14" s="4">
        <v>0</v>
      </c>
      <c r="Z14" s="4">
        <v>2</v>
      </c>
      <c r="AA14" s="4">
        <v>0</v>
      </c>
      <c r="AB14" s="26">
        <v>5</v>
      </c>
      <c r="AC14" s="51">
        <f t="shared" si="0"/>
        <v>22</v>
      </c>
      <c r="AD14" s="133">
        <f t="shared" si="1"/>
        <v>0.55000000000000004</v>
      </c>
    </row>
    <row r="15" spans="1:30" x14ac:dyDescent="0.25">
      <c r="A15" s="46" t="s">
        <v>47</v>
      </c>
      <c r="B15" s="16">
        <v>1</v>
      </c>
      <c r="C15" s="3">
        <v>0</v>
      </c>
      <c r="D15" s="3">
        <v>0</v>
      </c>
      <c r="E15" s="3">
        <v>0</v>
      </c>
      <c r="F15" s="3">
        <v>1</v>
      </c>
      <c r="G15" s="3">
        <v>1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4">
        <v>1</v>
      </c>
      <c r="W15" s="4">
        <v>0</v>
      </c>
      <c r="X15" s="4">
        <v>0</v>
      </c>
      <c r="Y15" s="4">
        <v>0</v>
      </c>
      <c r="Z15" s="4">
        <v>1</v>
      </c>
      <c r="AA15" s="4">
        <v>1</v>
      </c>
      <c r="AB15" s="26">
        <v>0</v>
      </c>
      <c r="AC15" s="51">
        <f t="shared" si="0"/>
        <v>10</v>
      </c>
      <c r="AD15" s="133">
        <f t="shared" si="1"/>
        <v>0.25</v>
      </c>
    </row>
    <row r="16" spans="1:30" x14ac:dyDescent="0.25">
      <c r="A16" s="46" t="s">
        <v>48</v>
      </c>
      <c r="B16" s="16">
        <v>1</v>
      </c>
      <c r="C16" s="3">
        <v>1</v>
      </c>
      <c r="D16" s="3">
        <v>1</v>
      </c>
      <c r="E16" s="3">
        <v>1</v>
      </c>
      <c r="F16" s="3">
        <v>0</v>
      </c>
      <c r="G16" s="3">
        <v>1</v>
      </c>
      <c r="H16" s="3">
        <v>2</v>
      </c>
      <c r="I16" s="3">
        <v>1</v>
      </c>
      <c r="J16" s="3">
        <v>1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0</v>
      </c>
      <c r="U16" s="3">
        <v>1</v>
      </c>
      <c r="V16" s="4">
        <v>1</v>
      </c>
      <c r="W16" s="4">
        <v>0</v>
      </c>
      <c r="X16" s="4">
        <v>0</v>
      </c>
      <c r="Y16" s="4">
        <v>0</v>
      </c>
      <c r="Z16" s="4">
        <v>2</v>
      </c>
      <c r="AA16" s="4">
        <v>1</v>
      </c>
      <c r="AB16" s="26">
        <v>5</v>
      </c>
      <c r="AC16" s="51">
        <f t="shared" si="0"/>
        <v>27</v>
      </c>
      <c r="AD16" s="133">
        <f t="shared" si="1"/>
        <v>0.67500000000000004</v>
      </c>
    </row>
    <row r="17" spans="1:30" x14ac:dyDescent="0.25">
      <c r="A17" s="46" t="s">
        <v>49</v>
      </c>
      <c r="B17" s="16">
        <v>1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0</v>
      </c>
      <c r="R17" s="3">
        <v>1</v>
      </c>
      <c r="S17" s="3">
        <v>1</v>
      </c>
      <c r="T17" s="3">
        <v>0</v>
      </c>
      <c r="U17" s="3">
        <v>1</v>
      </c>
      <c r="V17" s="4">
        <v>3</v>
      </c>
      <c r="W17" s="4">
        <v>1</v>
      </c>
      <c r="X17" s="4">
        <v>0</v>
      </c>
      <c r="Y17" s="4">
        <v>0</v>
      </c>
      <c r="Z17" s="4">
        <v>2</v>
      </c>
      <c r="AA17" s="4">
        <v>0</v>
      </c>
      <c r="AB17" s="26">
        <v>2</v>
      </c>
      <c r="AC17" s="51">
        <f t="shared" si="0"/>
        <v>23</v>
      </c>
      <c r="AD17" s="133">
        <f t="shared" si="1"/>
        <v>0.57499999999999996</v>
      </c>
    </row>
    <row r="18" spans="1:30" x14ac:dyDescent="0.25">
      <c r="A18" s="46" t="s">
        <v>50</v>
      </c>
      <c r="B18" s="16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2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0</v>
      </c>
      <c r="R18" s="3">
        <v>1</v>
      </c>
      <c r="S18" s="3">
        <v>1</v>
      </c>
      <c r="T18" s="3">
        <v>1</v>
      </c>
      <c r="U18" s="3">
        <v>1</v>
      </c>
      <c r="V18" s="4">
        <v>3</v>
      </c>
      <c r="W18" s="4">
        <v>1</v>
      </c>
      <c r="X18" s="4">
        <v>1</v>
      </c>
      <c r="Y18" s="4">
        <v>2</v>
      </c>
      <c r="Z18" s="4">
        <v>1</v>
      </c>
      <c r="AA18" s="4">
        <v>1</v>
      </c>
      <c r="AB18" s="26">
        <v>4</v>
      </c>
      <c r="AC18" s="51">
        <f t="shared" si="0"/>
        <v>33</v>
      </c>
      <c r="AD18" s="133">
        <f t="shared" si="1"/>
        <v>0.82499999999999996</v>
      </c>
    </row>
    <row r="19" spans="1:30" x14ac:dyDescent="0.25">
      <c r="A19" s="46" t="s">
        <v>51</v>
      </c>
      <c r="B19" s="16">
        <v>1</v>
      </c>
      <c r="C19" s="3">
        <v>1</v>
      </c>
      <c r="D19" s="3">
        <v>1</v>
      </c>
      <c r="E19" s="3">
        <v>1</v>
      </c>
      <c r="F19" s="3">
        <v>0</v>
      </c>
      <c r="G19" s="3">
        <v>1</v>
      </c>
      <c r="H19" s="3">
        <v>2</v>
      </c>
      <c r="I19" s="3">
        <v>0</v>
      </c>
      <c r="J19" s="3">
        <v>1</v>
      </c>
      <c r="K19" s="3">
        <v>1</v>
      </c>
      <c r="L19" s="3">
        <v>0</v>
      </c>
      <c r="M19" s="3">
        <v>1</v>
      </c>
      <c r="N19" s="3">
        <v>0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0</v>
      </c>
      <c r="U19" s="3">
        <v>0</v>
      </c>
      <c r="V19" s="4">
        <v>0</v>
      </c>
      <c r="W19" s="4">
        <v>0</v>
      </c>
      <c r="X19" s="4">
        <v>0</v>
      </c>
      <c r="Y19" s="4">
        <v>0</v>
      </c>
      <c r="Z19" s="4">
        <v>2</v>
      </c>
      <c r="AA19" s="4">
        <v>1</v>
      </c>
      <c r="AB19" s="26">
        <v>6</v>
      </c>
      <c r="AC19" s="51">
        <f t="shared" si="0"/>
        <v>23</v>
      </c>
      <c r="AD19" s="133">
        <f t="shared" si="1"/>
        <v>0.57499999999999996</v>
      </c>
    </row>
    <row r="20" spans="1:30" x14ac:dyDescent="0.25">
      <c r="A20" s="46" t="s">
        <v>52</v>
      </c>
      <c r="B20" s="16">
        <v>1</v>
      </c>
      <c r="C20" s="3">
        <v>1</v>
      </c>
      <c r="D20" s="3">
        <v>1</v>
      </c>
      <c r="E20" s="3">
        <v>1</v>
      </c>
      <c r="F20" s="3">
        <v>0</v>
      </c>
      <c r="G20" s="3">
        <v>1</v>
      </c>
      <c r="H20" s="3">
        <v>2</v>
      </c>
      <c r="I20" s="3">
        <v>0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0</v>
      </c>
      <c r="R20" s="3">
        <v>1</v>
      </c>
      <c r="S20" s="3">
        <v>1</v>
      </c>
      <c r="T20" s="3">
        <v>1</v>
      </c>
      <c r="U20" s="3">
        <v>1</v>
      </c>
      <c r="V20" s="4">
        <v>3</v>
      </c>
      <c r="W20" s="4">
        <v>1</v>
      </c>
      <c r="X20" s="4">
        <v>1</v>
      </c>
      <c r="Y20" s="4">
        <v>1</v>
      </c>
      <c r="Z20" s="4">
        <v>2</v>
      </c>
      <c r="AA20" s="4">
        <v>1</v>
      </c>
      <c r="AB20" s="26">
        <v>7</v>
      </c>
      <c r="AC20" s="51">
        <f t="shared" si="0"/>
        <v>33</v>
      </c>
      <c r="AD20" s="133">
        <f t="shared" si="1"/>
        <v>0.82499999999999996</v>
      </c>
    </row>
    <row r="21" spans="1:30" x14ac:dyDescent="0.25">
      <c r="A21" s="46" t="s">
        <v>53</v>
      </c>
      <c r="B21" s="16">
        <v>1</v>
      </c>
      <c r="C21" s="3">
        <v>1</v>
      </c>
      <c r="D21" s="3">
        <v>1</v>
      </c>
      <c r="E21" s="3">
        <v>1</v>
      </c>
      <c r="F21" s="3">
        <v>0</v>
      </c>
      <c r="G21" s="3">
        <v>1</v>
      </c>
      <c r="H21" s="3">
        <v>2</v>
      </c>
      <c r="I21" s="3">
        <v>0</v>
      </c>
      <c r="J21" s="3">
        <v>1</v>
      </c>
      <c r="K21" s="3">
        <v>1</v>
      </c>
      <c r="L21" s="3">
        <v>0</v>
      </c>
      <c r="M21" s="3">
        <v>1</v>
      </c>
      <c r="N21" s="3">
        <v>0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  <c r="U21" s="3">
        <v>0</v>
      </c>
      <c r="V21" s="4">
        <v>0</v>
      </c>
      <c r="W21" s="4">
        <v>0</v>
      </c>
      <c r="X21" s="4">
        <v>0</v>
      </c>
      <c r="Y21" s="4">
        <v>0</v>
      </c>
      <c r="Z21" s="4">
        <v>2</v>
      </c>
      <c r="AA21" s="4">
        <v>1</v>
      </c>
      <c r="AB21" s="26">
        <v>4</v>
      </c>
      <c r="AC21" s="51">
        <f t="shared" si="0"/>
        <v>22</v>
      </c>
      <c r="AD21" s="133">
        <f t="shared" si="1"/>
        <v>0.55000000000000004</v>
      </c>
    </row>
    <row r="22" spans="1:30" x14ac:dyDescent="0.25">
      <c r="A22" s="46" t="s">
        <v>54</v>
      </c>
      <c r="B22" s="16">
        <v>1</v>
      </c>
      <c r="C22" s="3">
        <v>1</v>
      </c>
      <c r="D22" s="3">
        <v>1</v>
      </c>
      <c r="E22" s="3">
        <v>1</v>
      </c>
      <c r="F22" s="3">
        <v>0</v>
      </c>
      <c r="G22" s="3">
        <v>1</v>
      </c>
      <c r="H22" s="3">
        <v>2</v>
      </c>
      <c r="I22" s="3">
        <v>0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4">
        <v>3</v>
      </c>
      <c r="W22" s="4">
        <v>1</v>
      </c>
      <c r="X22" s="4">
        <v>1</v>
      </c>
      <c r="Y22" s="4">
        <v>0</v>
      </c>
      <c r="Z22" s="4">
        <v>2</v>
      </c>
      <c r="AA22" s="4">
        <v>1</v>
      </c>
      <c r="AB22" s="26">
        <v>6</v>
      </c>
      <c r="AC22" s="51">
        <f t="shared" si="0"/>
        <v>32</v>
      </c>
      <c r="AD22" s="133">
        <f t="shared" si="1"/>
        <v>0.8</v>
      </c>
    </row>
    <row r="23" spans="1:30" x14ac:dyDescent="0.25">
      <c r="A23" s="46" t="s">
        <v>55</v>
      </c>
      <c r="B23" s="16">
        <v>1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2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0</v>
      </c>
      <c r="R23" s="3">
        <v>0</v>
      </c>
      <c r="S23" s="3">
        <v>1</v>
      </c>
      <c r="T23" s="3">
        <v>1</v>
      </c>
      <c r="U23" s="3">
        <v>0</v>
      </c>
      <c r="V23" s="4">
        <v>0</v>
      </c>
      <c r="W23" s="4">
        <v>0</v>
      </c>
      <c r="X23" s="4">
        <v>0</v>
      </c>
      <c r="Y23" s="4">
        <v>0</v>
      </c>
      <c r="Z23" s="4">
        <v>2</v>
      </c>
      <c r="AA23" s="4">
        <v>1</v>
      </c>
      <c r="AB23" s="26">
        <v>4</v>
      </c>
      <c r="AC23" s="51">
        <f t="shared" si="0"/>
        <v>23</v>
      </c>
      <c r="AD23" s="133">
        <f t="shared" si="1"/>
        <v>0.57499999999999996</v>
      </c>
    </row>
    <row r="24" spans="1:30" x14ac:dyDescent="0.25">
      <c r="A24" s="46" t="s">
        <v>56</v>
      </c>
      <c r="B24" s="16">
        <v>1</v>
      </c>
      <c r="C24" s="3">
        <v>0</v>
      </c>
      <c r="D24" s="3">
        <v>1</v>
      </c>
      <c r="E24" s="3">
        <v>1</v>
      </c>
      <c r="F24" s="3">
        <v>0</v>
      </c>
      <c r="G24" s="3">
        <v>1</v>
      </c>
      <c r="H24" s="3">
        <v>2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0</v>
      </c>
      <c r="U24" s="3">
        <v>0</v>
      </c>
      <c r="V24" s="4">
        <v>2</v>
      </c>
      <c r="W24" s="4">
        <v>0</v>
      </c>
      <c r="X24" s="4">
        <v>0</v>
      </c>
      <c r="Y24" s="4">
        <v>0</v>
      </c>
      <c r="Z24" s="4">
        <v>1</v>
      </c>
      <c r="AA24" s="4">
        <v>1</v>
      </c>
      <c r="AB24" s="26">
        <v>4</v>
      </c>
      <c r="AC24" s="51">
        <f t="shared" si="0"/>
        <v>24</v>
      </c>
      <c r="AD24" s="133">
        <f t="shared" si="1"/>
        <v>0.6</v>
      </c>
    </row>
    <row r="25" spans="1:30" x14ac:dyDescent="0.25">
      <c r="A25" s="46" t="s">
        <v>57</v>
      </c>
      <c r="B25" s="16">
        <v>1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2</v>
      </c>
      <c r="I25" s="3">
        <v>0</v>
      </c>
      <c r="J25" s="3">
        <v>1</v>
      </c>
      <c r="K25" s="3">
        <v>0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0</v>
      </c>
      <c r="V25" s="4">
        <v>3</v>
      </c>
      <c r="W25" s="4">
        <v>1</v>
      </c>
      <c r="X25" s="4">
        <v>0</v>
      </c>
      <c r="Y25" s="4">
        <v>0</v>
      </c>
      <c r="Z25" s="4">
        <v>2</v>
      </c>
      <c r="AA25" s="4">
        <v>1</v>
      </c>
      <c r="AB25" s="26">
        <v>2</v>
      </c>
      <c r="AC25" s="51">
        <f t="shared" si="0"/>
        <v>24</v>
      </c>
      <c r="AD25" s="133">
        <f t="shared" si="1"/>
        <v>0.6</v>
      </c>
    </row>
    <row r="26" spans="1:30" x14ac:dyDescent="0.25">
      <c r="A26" s="46" t="s">
        <v>58</v>
      </c>
      <c r="B26" s="16">
        <v>1</v>
      </c>
      <c r="C26" s="3">
        <v>1</v>
      </c>
      <c r="D26" s="3">
        <v>1</v>
      </c>
      <c r="E26" s="3">
        <v>0</v>
      </c>
      <c r="F26" s="3">
        <v>1</v>
      </c>
      <c r="G26" s="3">
        <v>1</v>
      </c>
      <c r="H26" s="3">
        <v>2</v>
      </c>
      <c r="I26" s="3">
        <v>0</v>
      </c>
      <c r="J26" s="3">
        <v>1</v>
      </c>
      <c r="K26" s="3">
        <v>1</v>
      </c>
      <c r="L26" s="3">
        <v>0</v>
      </c>
      <c r="M26" s="3">
        <v>1</v>
      </c>
      <c r="N26" s="3">
        <v>0</v>
      </c>
      <c r="O26" s="3">
        <v>1</v>
      </c>
      <c r="P26" s="3">
        <v>1</v>
      </c>
      <c r="Q26" s="3">
        <v>0</v>
      </c>
      <c r="R26" s="3">
        <v>1</v>
      </c>
      <c r="S26" s="3">
        <v>0</v>
      </c>
      <c r="T26" s="3">
        <v>1</v>
      </c>
      <c r="U26" s="3">
        <v>0</v>
      </c>
      <c r="V26" s="4">
        <v>1</v>
      </c>
      <c r="W26" s="4">
        <v>0</v>
      </c>
      <c r="X26" s="4">
        <v>0</v>
      </c>
      <c r="Y26" s="4">
        <v>0</v>
      </c>
      <c r="Z26" s="4">
        <v>1</v>
      </c>
      <c r="AA26" s="4">
        <v>1</v>
      </c>
      <c r="AB26" s="26">
        <v>1</v>
      </c>
      <c r="AC26" s="51">
        <f t="shared" si="0"/>
        <v>18</v>
      </c>
      <c r="AD26" s="133">
        <f t="shared" si="1"/>
        <v>0.45</v>
      </c>
    </row>
    <row r="27" spans="1:30" x14ac:dyDescent="0.25">
      <c r="A27" s="46" t="s">
        <v>59</v>
      </c>
      <c r="B27" s="16">
        <v>1</v>
      </c>
      <c r="C27" s="3">
        <v>1</v>
      </c>
      <c r="D27" s="3">
        <v>1</v>
      </c>
      <c r="E27" s="3">
        <v>0</v>
      </c>
      <c r="F27" s="3">
        <v>1</v>
      </c>
      <c r="G27" s="3">
        <v>1</v>
      </c>
      <c r="H27" s="3">
        <v>2</v>
      </c>
      <c r="I27" s="3">
        <v>0</v>
      </c>
      <c r="J27" s="3">
        <v>1</v>
      </c>
      <c r="K27" s="3">
        <v>0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0</v>
      </c>
      <c r="R27" s="3">
        <v>1</v>
      </c>
      <c r="S27" s="3">
        <v>1</v>
      </c>
      <c r="T27" s="3">
        <v>1</v>
      </c>
      <c r="U27" s="3">
        <v>1</v>
      </c>
      <c r="V27" s="4">
        <v>0</v>
      </c>
      <c r="W27" s="4">
        <v>0</v>
      </c>
      <c r="X27" s="4">
        <v>1</v>
      </c>
      <c r="Y27" s="4">
        <v>1</v>
      </c>
      <c r="Z27" s="4">
        <v>2</v>
      </c>
      <c r="AA27" s="4">
        <v>1</v>
      </c>
      <c r="AB27" s="26">
        <v>3</v>
      </c>
      <c r="AC27" s="51">
        <f t="shared" si="0"/>
        <v>25</v>
      </c>
      <c r="AD27" s="133">
        <f t="shared" si="1"/>
        <v>0.625</v>
      </c>
    </row>
    <row r="28" spans="1:30" x14ac:dyDescent="0.25">
      <c r="A28" s="46" t="s">
        <v>60</v>
      </c>
      <c r="B28" s="16">
        <v>1</v>
      </c>
      <c r="C28" s="3">
        <v>1</v>
      </c>
      <c r="D28" s="3">
        <v>1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</v>
      </c>
      <c r="M28" s="3">
        <v>1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4">
        <v>0</v>
      </c>
      <c r="W28" s="4">
        <v>0</v>
      </c>
      <c r="X28" s="4">
        <v>0</v>
      </c>
      <c r="Y28" s="4">
        <v>0</v>
      </c>
      <c r="Z28" s="4">
        <v>2</v>
      </c>
      <c r="AA28" s="4">
        <v>1</v>
      </c>
      <c r="AB28" s="26">
        <v>0</v>
      </c>
      <c r="AC28" s="51">
        <f t="shared" si="0"/>
        <v>10</v>
      </c>
      <c r="AD28" s="133">
        <f t="shared" si="1"/>
        <v>0.25</v>
      </c>
    </row>
    <row r="29" spans="1:30" x14ac:dyDescent="0.25">
      <c r="A29" s="46" t="s">
        <v>61</v>
      </c>
      <c r="B29" s="16">
        <v>1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0</v>
      </c>
      <c r="I29" s="3">
        <v>1</v>
      </c>
      <c r="J29" s="3">
        <v>1</v>
      </c>
      <c r="K29" s="3">
        <v>0</v>
      </c>
      <c r="L29" s="3">
        <v>0</v>
      </c>
      <c r="M29" s="3">
        <v>1</v>
      </c>
      <c r="N29" s="3">
        <v>0</v>
      </c>
      <c r="O29" s="3">
        <v>1</v>
      </c>
      <c r="P29" s="3">
        <v>1</v>
      </c>
      <c r="Q29" s="3">
        <v>0</v>
      </c>
      <c r="R29" s="3">
        <v>1</v>
      </c>
      <c r="S29" s="3">
        <v>1</v>
      </c>
      <c r="T29" s="3">
        <v>0</v>
      </c>
      <c r="U29" s="3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26">
        <v>0</v>
      </c>
      <c r="AC29" s="51">
        <f t="shared" si="0"/>
        <v>12</v>
      </c>
      <c r="AD29" s="133">
        <f t="shared" si="1"/>
        <v>0.3</v>
      </c>
    </row>
    <row r="30" spans="1:30" x14ac:dyDescent="0.25">
      <c r="A30" s="46" t="s">
        <v>62</v>
      </c>
      <c r="B30" s="24">
        <v>1</v>
      </c>
      <c r="C30" s="21">
        <v>1</v>
      </c>
      <c r="D30" s="21">
        <v>1</v>
      </c>
      <c r="E30" s="21">
        <v>1</v>
      </c>
      <c r="F30" s="21">
        <v>1</v>
      </c>
      <c r="G30" s="21">
        <v>1</v>
      </c>
      <c r="H30" s="21">
        <v>2</v>
      </c>
      <c r="I30" s="21">
        <v>0</v>
      </c>
      <c r="J30" s="21">
        <v>1</v>
      </c>
      <c r="K30" s="21">
        <v>0</v>
      </c>
      <c r="L30" s="21">
        <v>1</v>
      </c>
      <c r="M30" s="21">
        <v>1</v>
      </c>
      <c r="N30" s="21">
        <v>1</v>
      </c>
      <c r="O30" s="21">
        <v>1</v>
      </c>
      <c r="P30" s="21">
        <v>1</v>
      </c>
      <c r="Q30" s="21">
        <v>1</v>
      </c>
      <c r="R30" s="21">
        <v>1</v>
      </c>
      <c r="S30" s="21">
        <v>1</v>
      </c>
      <c r="T30" s="21">
        <v>1</v>
      </c>
      <c r="U30" s="21">
        <v>1</v>
      </c>
      <c r="V30" s="22">
        <v>2</v>
      </c>
      <c r="W30" s="22">
        <v>0</v>
      </c>
      <c r="X30" s="22">
        <v>1</v>
      </c>
      <c r="Y30" s="22">
        <v>0</v>
      </c>
      <c r="Z30" s="22">
        <v>2</v>
      </c>
      <c r="AA30" s="22">
        <v>1</v>
      </c>
      <c r="AB30" s="27">
        <v>3</v>
      </c>
      <c r="AC30" s="51">
        <f t="shared" si="0"/>
        <v>28</v>
      </c>
      <c r="AD30" s="133">
        <f t="shared" si="1"/>
        <v>0.7</v>
      </c>
    </row>
    <row r="31" spans="1:30" ht="15.75" thickBot="1" x14ac:dyDescent="0.3">
      <c r="A31" s="47" t="s">
        <v>63</v>
      </c>
      <c r="B31" s="28">
        <v>1</v>
      </c>
      <c r="C31" s="29">
        <v>1</v>
      </c>
      <c r="D31" s="29">
        <v>1</v>
      </c>
      <c r="E31" s="29">
        <v>0</v>
      </c>
      <c r="F31" s="29">
        <v>0</v>
      </c>
      <c r="G31" s="29">
        <v>1</v>
      </c>
      <c r="H31" s="29">
        <v>0</v>
      </c>
      <c r="I31" s="29">
        <v>0</v>
      </c>
      <c r="J31" s="29">
        <v>0</v>
      </c>
      <c r="K31" s="29">
        <v>1</v>
      </c>
      <c r="L31" s="29">
        <v>0</v>
      </c>
      <c r="M31" s="29">
        <v>1</v>
      </c>
      <c r="N31" s="29">
        <v>1</v>
      </c>
      <c r="O31" s="29">
        <v>1</v>
      </c>
      <c r="P31" s="29">
        <v>1</v>
      </c>
      <c r="Q31" s="29">
        <v>0</v>
      </c>
      <c r="R31" s="29">
        <v>1</v>
      </c>
      <c r="S31" s="29">
        <v>1</v>
      </c>
      <c r="T31" s="29">
        <v>1</v>
      </c>
      <c r="U31" s="29">
        <v>1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1">
        <v>2</v>
      </c>
      <c r="AC31" s="51">
        <f t="shared" si="0"/>
        <v>16</v>
      </c>
      <c r="AD31" s="133">
        <f t="shared" si="1"/>
        <v>0.4</v>
      </c>
    </row>
    <row r="35" spans="1:28" x14ac:dyDescent="0.25">
      <c r="A35" s="49" t="s">
        <v>162</v>
      </c>
      <c r="B35" s="57">
        <f>SUM(B6:B31)</f>
        <v>26</v>
      </c>
      <c r="C35" s="57">
        <f t="shared" ref="C35:AB35" si="2">SUM(C6:C31)</f>
        <v>21</v>
      </c>
      <c r="D35" s="57">
        <f t="shared" si="2"/>
        <v>24</v>
      </c>
      <c r="E35" s="57">
        <f t="shared" si="2"/>
        <v>14</v>
      </c>
      <c r="F35" s="57">
        <f t="shared" si="2"/>
        <v>12</v>
      </c>
      <c r="G35" s="57">
        <f t="shared" si="2"/>
        <v>25</v>
      </c>
      <c r="H35" s="57">
        <f t="shared" si="2"/>
        <v>37</v>
      </c>
      <c r="I35" s="57">
        <f t="shared" si="2"/>
        <v>8</v>
      </c>
      <c r="J35" s="57">
        <f t="shared" si="2"/>
        <v>23</v>
      </c>
      <c r="K35" s="57">
        <f t="shared" si="2"/>
        <v>13</v>
      </c>
      <c r="L35" s="57">
        <f t="shared" si="2"/>
        <v>17</v>
      </c>
      <c r="M35" s="57">
        <f t="shared" si="2"/>
        <v>25</v>
      </c>
      <c r="N35" s="57">
        <f t="shared" si="2"/>
        <v>19</v>
      </c>
      <c r="O35" s="57">
        <f t="shared" si="2"/>
        <v>23</v>
      </c>
      <c r="P35" s="57">
        <f t="shared" si="2"/>
        <v>24</v>
      </c>
      <c r="Q35" s="57">
        <f t="shared" si="2"/>
        <v>8</v>
      </c>
      <c r="R35" s="57">
        <f t="shared" si="2"/>
        <v>19</v>
      </c>
      <c r="S35" s="57">
        <f t="shared" si="2"/>
        <v>20</v>
      </c>
      <c r="T35" s="57">
        <f t="shared" si="2"/>
        <v>13</v>
      </c>
      <c r="U35" s="57">
        <f t="shared" si="2"/>
        <v>12</v>
      </c>
      <c r="V35" s="57">
        <f t="shared" si="2"/>
        <v>27</v>
      </c>
      <c r="W35" s="57">
        <f t="shared" si="2"/>
        <v>6</v>
      </c>
      <c r="X35" s="57">
        <f t="shared" si="2"/>
        <v>8</v>
      </c>
      <c r="Y35" s="57">
        <f t="shared" si="2"/>
        <v>4</v>
      </c>
      <c r="Z35" s="57">
        <f t="shared" si="2"/>
        <v>40</v>
      </c>
      <c r="AA35" s="57">
        <f t="shared" si="2"/>
        <v>20</v>
      </c>
      <c r="AB35" s="57">
        <f t="shared" si="2"/>
        <v>78</v>
      </c>
    </row>
    <row r="36" spans="1:28" x14ac:dyDescent="0.25">
      <c r="A36" s="49" t="s">
        <v>163</v>
      </c>
      <c r="B36" s="57">
        <f>AVERAGE(B6:B31)</f>
        <v>1</v>
      </c>
      <c r="C36" s="57">
        <f t="shared" ref="C36:AB36" si="3">AVERAGE(C6:C31)</f>
        <v>0.80769230769230771</v>
      </c>
      <c r="D36" s="57">
        <f t="shared" si="3"/>
        <v>0.92307692307692313</v>
      </c>
      <c r="E36" s="57">
        <f t="shared" si="3"/>
        <v>0.53846153846153844</v>
      </c>
      <c r="F36" s="57">
        <f t="shared" si="3"/>
        <v>0.46153846153846156</v>
      </c>
      <c r="G36" s="57">
        <f t="shared" si="3"/>
        <v>0.96153846153846156</v>
      </c>
      <c r="H36" s="57">
        <f t="shared" si="3"/>
        <v>1.4230769230769231</v>
      </c>
      <c r="I36" s="57">
        <f t="shared" si="3"/>
        <v>0.30769230769230771</v>
      </c>
      <c r="J36" s="57">
        <f t="shared" si="3"/>
        <v>0.88461538461538458</v>
      </c>
      <c r="K36" s="57">
        <f t="shared" si="3"/>
        <v>0.5</v>
      </c>
      <c r="L36" s="57">
        <f t="shared" si="3"/>
        <v>0.65384615384615385</v>
      </c>
      <c r="M36" s="57">
        <f t="shared" si="3"/>
        <v>0.96153846153846156</v>
      </c>
      <c r="N36" s="57">
        <f t="shared" si="3"/>
        <v>0.73076923076923073</v>
      </c>
      <c r="O36" s="57">
        <f t="shared" si="3"/>
        <v>0.88461538461538458</v>
      </c>
      <c r="P36" s="57">
        <f t="shared" si="3"/>
        <v>0.92307692307692313</v>
      </c>
      <c r="Q36" s="57">
        <f t="shared" si="3"/>
        <v>0.30769230769230771</v>
      </c>
      <c r="R36" s="57">
        <f t="shared" si="3"/>
        <v>0.73076923076923073</v>
      </c>
      <c r="S36" s="57">
        <f t="shared" si="3"/>
        <v>0.76923076923076927</v>
      </c>
      <c r="T36" s="57">
        <f t="shared" si="3"/>
        <v>0.5</v>
      </c>
      <c r="U36" s="57">
        <f t="shared" si="3"/>
        <v>0.46153846153846156</v>
      </c>
      <c r="V36" s="57">
        <f t="shared" si="3"/>
        <v>1.0384615384615385</v>
      </c>
      <c r="W36" s="57">
        <f t="shared" si="3"/>
        <v>0.23076923076923078</v>
      </c>
      <c r="X36" s="57">
        <f t="shared" si="3"/>
        <v>0.30769230769230771</v>
      </c>
      <c r="Y36" s="57">
        <f t="shared" si="3"/>
        <v>0.15384615384615385</v>
      </c>
      <c r="Z36" s="57">
        <f t="shared" si="3"/>
        <v>1.5384615384615385</v>
      </c>
      <c r="AA36" s="57">
        <f t="shared" si="3"/>
        <v>0.76923076923076927</v>
      </c>
      <c r="AB36" s="57">
        <f t="shared" si="3"/>
        <v>3</v>
      </c>
    </row>
    <row r="37" spans="1:28" ht="30" x14ac:dyDescent="0.25">
      <c r="A37" s="50" t="s">
        <v>164</v>
      </c>
      <c r="B37" s="57">
        <f>B35/(B5*$C$1)</f>
        <v>1</v>
      </c>
      <c r="C37" s="57">
        <f t="shared" ref="C37:AB37" si="4">C35/(C5*$C$1)</f>
        <v>0.80769230769230771</v>
      </c>
      <c r="D37" s="57">
        <f t="shared" si="4"/>
        <v>0.92307692307692313</v>
      </c>
      <c r="E37" s="57">
        <f t="shared" si="4"/>
        <v>0.53846153846153844</v>
      </c>
      <c r="F37" s="57">
        <f t="shared" si="4"/>
        <v>0.46153846153846156</v>
      </c>
      <c r="G37" s="57">
        <f t="shared" si="4"/>
        <v>0.96153846153846156</v>
      </c>
      <c r="H37" s="57">
        <f t="shared" si="4"/>
        <v>0.71153846153846156</v>
      </c>
      <c r="I37" s="57">
        <f t="shared" si="4"/>
        <v>0.30769230769230771</v>
      </c>
      <c r="J37" s="57">
        <f t="shared" si="4"/>
        <v>0.88461538461538458</v>
      </c>
      <c r="K37" s="57">
        <f t="shared" si="4"/>
        <v>0.5</v>
      </c>
      <c r="L37" s="57">
        <f t="shared" si="4"/>
        <v>0.65384615384615385</v>
      </c>
      <c r="M37" s="57">
        <f t="shared" si="4"/>
        <v>0.96153846153846156</v>
      </c>
      <c r="N37" s="57">
        <f t="shared" si="4"/>
        <v>0.73076923076923073</v>
      </c>
      <c r="O37" s="57">
        <f t="shared" si="4"/>
        <v>0.88461538461538458</v>
      </c>
      <c r="P37" s="57">
        <f t="shared" si="4"/>
        <v>0.92307692307692313</v>
      </c>
      <c r="Q37" s="57">
        <f t="shared" si="4"/>
        <v>0.30769230769230771</v>
      </c>
      <c r="R37" s="57">
        <f t="shared" si="4"/>
        <v>0.73076923076923073</v>
      </c>
      <c r="S37" s="57">
        <f t="shared" si="4"/>
        <v>0.76923076923076927</v>
      </c>
      <c r="T37" s="57">
        <f t="shared" si="4"/>
        <v>0.5</v>
      </c>
      <c r="U37" s="57">
        <f t="shared" si="4"/>
        <v>0.46153846153846156</v>
      </c>
      <c r="V37" s="57">
        <f t="shared" si="4"/>
        <v>0.34615384615384615</v>
      </c>
      <c r="W37" s="57">
        <f t="shared" si="4"/>
        <v>0.23076923076923078</v>
      </c>
      <c r="X37" s="57">
        <f t="shared" si="4"/>
        <v>0.15384615384615385</v>
      </c>
      <c r="Y37" s="57">
        <f t="shared" si="4"/>
        <v>7.6923076923076927E-2</v>
      </c>
      <c r="Z37" s="57">
        <f t="shared" si="4"/>
        <v>0.76923076923076927</v>
      </c>
      <c r="AA37" s="57">
        <f t="shared" si="4"/>
        <v>0.76923076923076927</v>
      </c>
      <c r="AB37" s="57">
        <f t="shared" si="4"/>
        <v>0.375</v>
      </c>
    </row>
    <row r="38" spans="1:28" ht="45" x14ac:dyDescent="0.25">
      <c r="A38" s="50" t="s">
        <v>165</v>
      </c>
      <c r="B38" s="134" t="str" cm="1">
        <f t="array" ref="B38">_xlfn.IFS(B37&gt;=0.9,"bardzo łatwe",B37&gt;=0.7,"łatwe",B37&gt;=0.5,"umierkowanie trudne",B37&gt;=0.2,"trudne",B37,"bardzo trudne")</f>
        <v>bardzo łatwe</v>
      </c>
      <c r="C38" s="134" t="str" cm="1">
        <f t="array" ref="C38">_xlfn.IFS(C37&gt;=0.9,"bardzo łatwe",C37&gt;=0.7,"łatwe",C37&gt;=0.5,"umierkowanie trudne",C37&gt;=0.2,"trudne",C37,"bardzo trudne")</f>
        <v>łatwe</v>
      </c>
      <c r="D38" s="134" t="str" cm="1">
        <f t="array" ref="D38">_xlfn.IFS(D37&gt;=0.9,"bardzo łatwe",D37&gt;=0.7,"łatwe",D37&gt;=0.5,"umierkowanie trudne",D37&gt;=0.2,"trudne",D37,"bardzo trudne")</f>
        <v>bardzo łatwe</v>
      </c>
      <c r="E38" s="134" t="str" cm="1">
        <f t="array" ref="E38">_xlfn.IFS(E37&gt;=0.9,"bardzo łatwe",E37&gt;=0.7,"łatwe",E37&gt;=0.5,"umierkowanie trudne",E37&gt;=0.2,"trudne",E37,"bardzo trudne")</f>
        <v>umierkowanie trudne</v>
      </c>
      <c r="F38" s="134" t="str" cm="1">
        <f t="array" ref="F38">_xlfn.IFS(F37&gt;=0.9,"bardzo łatwe",F37&gt;=0.7,"łatwe",F37&gt;=0.5,"umierkowanie trudne",F37&gt;=0.2,"trudne",F37,"bardzo trudne")</f>
        <v>trudne</v>
      </c>
      <c r="G38" s="134" t="str" cm="1">
        <f t="array" ref="G38">_xlfn.IFS(G37&gt;=0.9,"bardzo łatwe",G37&gt;=0.7,"łatwe",G37&gt;=0.5,"umierkowanie trudne",G37&gt;=0.2,"trudne",G37,"bardzo trudne")</f>
        <v>bardzo łatwe</v>
      </c>
      <c r="H38" s="134" t="str" cm="1">
        <f t="array" ref="H38">_xlfn.IFS(H37&gt;=0.9,"bardzo łatwe",H37&gt;=0.7,"łatwe",H37&gt;=0.5,"umierkowanie trudne",H37&gt;=0.2,"trudne",H37,"bardzo trudne")</f>
        <v>łatwe</v>
      </c>
      <c r="I38" s="134" t="str" cm="1">
        <f t="array" ref="I38">_xlfn.IFS(I37&gt;=0.9,"bardzo łatwe",I37&gt;=0.7,"łatwe",I37&gt;=0.5,"umierkowanie trudne",I37&gt;=0.2,"trudne",I37,"bardzo trudne")</f>
        <v>trudne</v>
      </c>
      <c r="J38" s="134" t="str" cm="1">
        <f t="array" ref="J38">_xlfn.IFS(J37&gt;=0.9,"bardzo łatwe",J37&gt;=0.7,"łatwe",J37&gt;=0.5,"umierkowanie trudne",J37&gt;=0.2,"trudne",J37,"bardzo trudne")</f>
        <v>łatwe</v>
      </c>
      <c r="K38" s="134" t="str" cm="1">
        <f t="array" ref="K38">_xlfn.IFS(K37&gt;=0.9,"bardzo łatwe",K37&gt;=0.7,"łatwe",K37&gt;=0.5,"umierkowanie trudne",K37&gt;=0.2,"trudne",K37,"bardzo trudne")</f>
        <v>umierkowanie trudne</v>
      </c>
      <c r="L38" s="134" t="str" cm="1">
        <f t="array" ref="L38">_xlfn.IFS(L37&gt;=0.9,"bardzo łatwe",L37&gt;=0.7,"łatwe",L37&gt;=0.5,"umierkowanie trudne",L37&gt;=0.2,"trudne",L37,"bardzo trudne")</f>
        <v>umierkowanie trudne</v>
      </c>
      <c r="M38" s="134" t="str" cm="1">
        <f t="array" ref="M38">_xlfn.IFS(M37&gt;=0.9,"bardzo łatwe",M37&gt;=0.7,"łatwe",M37&gt;=0.5,"umierkowanie trudne",M37&gt;=0.2,"trudne",M37,"bardzo trudne")</f>
        <v>bardzo łatwe</v>
      </c>
      <c r="N38" s="134" t="str" cm="1">
        <f t="array" ref="N38">_xlfn.IFS(N37&gt;=0.9,"bardzo łatwe",N37&gt;=0.7,"łatwe",N37&gt;=0.5,"umierkowanie trudne",N37&gt;=0.2,"trudne",N37,"bardzo trudne")</f>
        <v>łatwe</v>
      </c>
      <c r="O38" s="134" t="str" cm="1">
        <f t="array" ref="O38">_xlfn.IFS(O37&gt;=0.9,"bardzo łatwe",O37&gt;=0.7,"łatwe",O37&gt;=0.5,"umierkowanie trudne",O37&gt;=0.2,"trudne",O37,"bardzo trudne")</f>
        <v>łatwe</v>
      </c>
      <c r="P38" s="134" t="str" cm="1">
        <f t="array" ref="P38">_xlfn.IFS(P37&gt;=0.9,"bardzo łatwe",P37&gt;=0.7,"łatwe",P37&gt;=0.5,"umierkowanie trudne",P37&gt;=0.2,"trudne",P37,"bardzo trudne")</f>
        <v>bardzo łatwe</v>
      </c>
      <c r="Q38" s="134" t="str" cm="1">
        <f t="array" ref="Q38">_xlfn.IFS(Q37&gt;=0.9,"bardzo łatwe",Q37&gt;=0.7,"łatwe",Q37&gt;=0.5,"umierkowanie trudne",Q37&gt;=0.2,"trudne",Q37,"bardzo trudne")</f>
        <v>trudne</v>
      </c>
      <c r="R38" s="134" t="str" cm="1">
        <f t="array" ref="R38">_xlfn.IFS(R37&gt;=0.9,"bardzo łatwe",R37&gt;=0.7,"łatwe",R37&gt;=0.5,"umierkowanie trudne",R37&gt;=0.2,"trudne",R37,"bardzo trudne")</f>
        <v>łatwe</v>
      </c>
      <c r="S38" s="134" t="str" cm="1">
        <f t="array" ref="S38">_xlfn.IFS(S37&gt;=0.9,"bardzo łatwe",S37&gt;=0.7,"łatwe",S37&gt;=0.5,"umierkowanie trudne",S37&gt;=0.2,"trudne",S37,"bardzo trudne")</f>
        <v>łatwe</v>
      </c>
      <c r="T38" s="134" t="str" cm="1">
        <f t="array" ref="T38">_xlfn.IFS(T37&gt;=0.9,"bardzo łatwe",T37&gt;=0.7,"łatwe",T37&gt;=0.5,"umierkowanie trudne",T37&gt;=0.2,"trudne",T37,"bardzo trudne")</f>
        <v>umierkowanie trudne</v>
      </c>
      <c r="U38" s="134" t="str" cm="1">
        <f t="array" ref="U38">_xlfn.IFS(U37&gt;=0.9,"bardzo łatwe",U37&gt;=0.7,"łatwe",U37&gt;=0.5,"umierkowanie trudne",U37&gt;=0.2,"trudne",U37,"bardzo trudne")</f>
        <v>trudne</v>
      </c>
      <c r="V38" s="134" t="str" cm="1">
        <f t="array" ref="V38">_xlfn.IFS(V37&gt;=0.9,"bardzo łatwe",V37&gt;=0.7,"łatwe",V37&gt;=0.5,"umierkowanie trudne",V37&gt;=0.2,"trudne",V37,"bardzo trudne")</f>
        <v>trudne</v>
      </c>
      <c r="W38" s="134" t="str" cm="1">
        <f t="array" ref="W38">_xlfn.IFS(W37&gt;=0.9,"bardzo łatwe",W37&gt;=0.7,"łatwe",W37&gt;=0.5,"umierkowanie trudne",W37&gt;=0.2,"trudne",W37,"bardzo trudne")</f>
        <v>trudne</v>
      </c>
      <c r="X38" s="134" t="str" cm="1">
        <f t="array" ref="X38">_xlfn.IFS(X37&gt;=0.9,"bardzo łatwe",X37&gt;=0.7,"łatwe",X37&gt;=0.5,"umierkowanie trudne",X37&gt;=0.2,"trudne",X37,"bardzo trudne")</f>
        <v>bardzo trudne</v>
      </c>
      <c r="Y38" s="134" t="str" cm="1">
        <f t="array" ref="Y38">_xlfn.IFS(Y37&gt;=0.9,"bardzo łatwe",Y37&gt;=0.7,"łatwe",Y37&gt;=0.5,"umierkowanie trudne",Y37&gt;=0.2,"trudne",Y37,"bardzo trudne")</f>
        <v>bardzo trudne</v>
      </c>
      <c r="Z38" s="134" t="str" cm="1">
        <f t="array" ref="Z38">_xlfn.IFS(Z37&gt;=0.9,"bardzo łatwe",Z37&gt;=0.7,"łatwe",Z37&gt;=0.5,"umierkowanie trudne",Z37&gt;=0.2,"trudne",Z37,"bardzo trudne")</f>
        <v>łatwe</v>
      </c>
      <c r="AA38" s="134" t="str" cm="1">
        <f t="array" ref="AA38">_xlfn.IFS(AA37&gt;=0.9,"bardzo łatwe",AA37&gt;=0.7,"łatwe",AA37&gt;=0.5,"umierkowanie trudne",AA37&gt;=0.2,"trudne",AA37,"bardzo trudne")</f>
        <v>łatwe</v>
      </c>
      <c r="AB38" s="134" t="str" cm="1">
        <f t="array" ref="AB38">_xlfn.IFS(AB37&gt;=0.9,"bardzo łatwe",AB37&gt;=0.7,"łatwe",AB37&gt;=0.5,"umierkowanie trudne",AB37&gt;=0.2,"trudne",AB37,"bardzo trudne")</f>
        <v>trudne</v>
      </c>
    </row>
    <row r="44" spans="1:28" ht="15.75" thickBot="1" x14ac:dyDescent="0.3">
      <c r="D44" s="61"/>
      <c r="E44" s="62"/>
      <c r="F44" s="36"/>
      <c r="G44" s="36"/>
      <c r="H44" s="36"/>
    </row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>
        <f>$C$1*SUMIFS($B$5:$AB$5,B$4:AB$4,B46)</f>
        <v>260</v>
      </c>
      <c r="C47" s="72">
        <f t="shared" ref="C47:F47" si="5">$C$1*SUMIFS($B$5:$AB$5,C$4:AC$4,C46)</f>
        <v>26</v>
      </c>
      <c r="D47" s="72">
        <f t="shared" si="5"/>
        <v>208</v>
      </c>
      <c r="E47" s="72">
        <f t="shared" si="5"/>
        <v>78</v>
      </c>
      <c r="F47" s="72">
        <f t="shared" si="5"/>
        <v>208</v>
      </c>
      <c r="G47" s="72">
        <f>SUMIFS($B$35:$AB$35,$B$4:$AB$4,G46)</f>
        <v>200</v>
      </c>
      <c r="H47" s="72">
        <f t="shared" ref="H47:K47" si="6">SUMIFS($B$35:$AB$35,$B$4:$AB$4,H46)</f>
        <v>78</v>
      </c>
      <c r="I47" s="72">
        <f t="shared" si="6"/>
        <v>97</v>
      </c>
      <c r="J47" s="72">
        <f t="shared" si="6"/>
        <v>81</v>
      </c>
      <c r="K47" s="72">
        <f t="shared" si="6"/>
        <v>110</v>
      </c>
      <c r="L47" s="72">
        <f>B47/G47</f>
        <v>1.3</v>
      </c>
      <c r="M47" s="72">
        <f t="shared" ref="M47:P47" si="7">C47/H47</f>
        <v>0.33333333333333331</v>
      </c>
      <c r="N47" s="72">
        <f t="shared" si="7"/>
        <v>2.1443298969072164</v>
      </c>
      <c r="O47" s="72">
        <f t="shared" si="7"/>
        <v>0.96296296296296291</v>
      </c>
      <c r="P47" s="72">
        <f t="shared" si="7"/>
        <v>1.8909090909090909</v>
      </c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>
        <f>COUNTA(A6:A31)</f>
        <v>26</v>
      </c>
    </row>
    <row r="53" spans="2:6" x14ac:dyDescent="0.25">
      <c r="B53" s="89" t="s">
        <v>173</v>
      </c>
      <c r="C53" s="87"/>
      <c r="D53" s="87"/>
      <c r="E53" s="87"/>
      <c r="F53" s="90"/>
    </row>
    <row r="54" spans="2:6" x14ac:dyDescent="0.25">
      <c r="B54" s="89" t="s">
        <v>174</v>
      </c>
      <c r="C54" s="87"/>
      <c r="D54" s="87"/>
      <c r="E54" s="87"/>
      <c r="F54" s="90">
        <f>AVERAGE(AC6:AC31)</f>
        <v>21.76923076923077</v>
      </c>
    </row>
    <row r="55" spans="2:6" x14ac:dyDescent="0.25">
      <c r="B55" s="89" t="s">
        <v>175</v>
      </c>
      <c r="C55" s="87"/>
      <c r="D55" s="87"/>
      <c r="E55" s="87"/>
      <c r="F55" s="90">
        <f>MEDIAN(AC6:AC31)</f>
        <v>22.5</v>
      </c>
    </row>
    <row r="56" spans="2:6" x14ac:dyDescent="0.25">
      <c r="B56" s="89" t="s">
        <v>176</v>
      </c>
      <c r="C56" s="87"/>
      <c r="D56" s="87"/>
      <c r="E56" s="87"/>
      <c r="F56" s="90">
        <f>_xlfn.MODE.SNGL(AC6:AC31)</f>
        <v>14</v>
      </c>
    </row>
    <row r="57" spans="2:6" x14ac:dyDescent="0.25">
      <c r="B57" s="89" t="s">
        <v>177</v>
      </c>
      <c r="C57" s="87"/>
      <c r="D57" s="87"/>
      <c r="E57" s="87"/>
      <c r="F57" s="90"/>
    </row>
    <row r="58" spans="2:6" x14ac:dyDescent="0.25">
      <c r="B58" s="89" t="s">
        <v>178</v>
      </c>
      <c r="C58" s="87"/>
      <c r="D58" s="87"/>
      <c r="E58" s="87"/>
      <c r="F58" s="90"/>
    </row>
    <row r="59" spans="2:6" x14ac:dyDescent="0.25">
      <c r="B59" s="89" t="s">
        <v>179</v>
      </c>
      <c r="C59" s="87"/>
      <c r="D59" s="87"/>
      <c r="E59" s="87"/>
      <c r="F59" s="90"/>
    </row>
    <row r="60" spans="2:6" ht="15.75" thickBot="1" x14ac:dyDescent="0.3">
      <c r="B60" s="88" t="s">
        <v>180</v>
      </c>
      <c r="C60" s="84"/>
      <c r="D60" s="84"/>
      <c r="E60" s="84"/>
      <c r="F60" s="8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05C-4861-4720-AF2B-529F28A99CB8}">
  <dimension ref="A1:AD60"/>
  <sheetViews>
    <sheetView topLeftCell="A13" zoomScale="70" zoomScaleNormal="70" workbookViewId="0">
      <selection activeCell="A6" sqref="A6:A32"/>
    </sheetView>
  </sheetViews>
  <sheetFormatPr defaultRowHeight="15" x14ac:dyDescent="0.25"/>
  <cols>
    <col min="1" max="1" width="18.28515625" customWidth="1"/>
  </cols>
  <sheetData>
    <row r="1" spans="1:30" ht="30.75" thickBot="1" x14ac:dyDescent="0.3">
      <c r="A1" s="6" t="s">
        <v>64</v>
      </c>
      <c r="B1" s="64" t="s">
        <v>169</v>
      </c>
      <c r="C1" s="63">
        <v>27</v>
      </c>
    </row>
    <row r="2" spans="1:30" ht="15.75" thickBot="1" x14ac:dyDescent="0.3"/>
    <row r="3" spans="1:30" x14ac:dyDescent="0.25">
      <c r="A3" s="45" t="s">
        <v>0</v>
      </c>
      <c r="B3" s="32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40" t="s">
        <v>1</v>
      </c>
      <c r="W3" s="40" t="s">
        <v>2</v>
      </c>
      <c r="X3" s="40" t="s">
        <v>3</v>
      </c>
      <c r="Y3" s="41" t="s">
        <v>4</v>
      </c>
      <c r="Z3" s="40">
        <v>23</v>
      </c>
      <c r="AA3" s="40">
        <v>24</v>
      </c>
      <c r="AB3" s="42">
        <v>25</v>
      </c>
    </row>
    <row r="4" spans="1:30" x14ac:dyDescent="0.25">
      <c r="A4" s="46" t="s">
        <v>5</v>
      </c>
      <c r="B4" s="33" t="s">
        <v>6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7</v>
      </c>
      <c r="T4" s="1" t="s">
        <v>9</v>
      </c>
      <c r="U4" s="1" t="s">
        <v>9</v>
      </c>
      <c r="V4" s="2" t="s">
        <v>7</v>
      </c>
      <c r="W4" s="2" t="s">
        <v>9</v>
      </c>
      <c r="X4" s="2" t="s">
        <v>7</v>
      </c>
      <c r="Y4" s="2" t="s">
        <v>9</v>
      </c>
      <c r="Z4" s="2" t="s">
        <v>6</v>
      </c>
      <c r="AA4" s="2" t="s">
        <v>6</v>
      </c>
      <c r="AB4" s="11" t="s">
        <v>10</v>
      </c>
    </row>
    <row r="5" spans="1:30" ht="15.75" thickBot="1" x14ac:dyDescent="0.3">
      <c r="A5" s="44" t="s">
        <v>120</v>
      </c>
      <c r="B5" s="34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2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3">
        <v>3</v>
      </c>
      <c r="W5" s="13">
        <v>1</v>
      </c>
      <c r="X5" s="13">
        <v>2</v>
      </c>
      <c r="Y5" s="13">
        <v>2</v>
      </c>
      <c r="Z5" s="13">
        <v>2</v>
      </c>
      <c r="AA5" s="13">
        <v>1</v>
      </c>
      <c r="AB5" s="14">
        <v>8</v>
      </c>
      <c r="AC5" s="56" t="s">
        <v>162</v>
      </c>
      <c r="AD5" s="56" t="s">
        <v>163</v>
      </c>
    </row>
    <row r="6" spans="1:30" x14ac:dyDescent="0.25">
      <c r="A6" s="45" t="s">
        <v>65</v>
      </c>
      <c r="B6" s="23">
        <v>1</v>
      </c>
      <c r="C6" s="18">
        <v>1</v>
      </c>
      <c r="D6" s="18">
        <v>1</v>
      </c>
      <c r="E6" s="18">
        <v>1</v>
      </c>
      <c r="F6" s="18">
        <v>0</v>
      </c>
      <c r="G6" s="18">
        <v>0</v>
      </c>
      <c r="H6" s="18">
        <v>2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0</v>
      </c>
      <c r="P6" s="18">
        <v>1</v>
      </c>
      <c r="Q6" s="18">
        <v>0</v>
      </c>
      <c r="R6" s="18">
        <v>1</v>
      </c>
      <c r="S6" s="18">
        <v>1</v>
      </c>
      <c r="T6" s="18">
        <v>1</v>
      </c>
      <c r="U6" s="18">
        <v>1</v>
      </c>
      <c r="V6" s="19">
        <v>3</v>
      </c>
      <c r="W6" s="19">
        <v>1</v>
      </c>
      <c r="X6" s="19">
        <v>2</v>
      </c>
      <c r="Y6" s="19">
        <v>2</v>
      </c>
      <c r="Z6" s="19">
        <v>2</v>
      </c>
      <c r="AA6" s="19">
        <v>0</v>
      </c>
      <c r="AB6" s="19">
        <v>3</v>
      </c>
      <c r="AC6" s="51"/>
      <c r="AD6" s="51"/>
    </row>
    <row r="7" spans="1:30" x14ac:dyDescent="0.25">
      <c r="A7" s="46" t="s">
        <v>66</v>
      </c>
      <c r="B7" s="16">
        <v>1</v>
      </c>
      <c r="C7" s="3">
        <v>0</v>
      </c>
      <c r="D7" s="3">
        <v>1</v>
      </c>
      <c r="E7" s="3">
        <v>1</v>
      </c>
      <c r="F7" s="3">
        <v>0</v>
      </c>
      <c r="G7" s="3">
        <v>1</v>
      </c>
      <c r="H7" s="3">
        <v>2</v>
      </c>
      <c r="I7" s="3">
        <v>1</v>
      </c>
      <c r="J7" s="3">
        <v>1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1</v>
      </c>
      <c r="S7" s="3">
        <v>1</v>
      </c>
      <c r="T7" s="3">
        <v>1</v>
      </c>
      <c r="U7" s="3">
        <v>1</v>
      </c>
      <c r="V7" s="4">
        <v>1</v>
      </c>
      <c r="W7" s="4">
        <v>0</v>
      </c>
      <c r="X7" s="4">
        <v>0</v>
      </c>
      <c r="Y7" s="4">
        <v>0</v>
      </c>
      <c r="Z7" s="4">
        <v>2</v>
      </c>
      <c r="AA7" s="4">
        <v>1</v>
      </c>
      <c r="AB7" s="4">
        <v>0</v>
      </c>
      <c r="AC7" s="51"/>
      <c r="AD7" s="51"/>
    </row>
    <row r="8" spans="1:30" x14ac:dyDescent="0.25">
      <c r="A8" s="46" t="s">
        <v>67</v>
      </c>
      <c r="B8" s="16">
        <v>1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2</v>
      </c>
      <c r="I8" s="3">
        <v>0</v>
      </c>
      <c r="J8" s="3">
        <v>0</v>
      </c>
      <c r="K8" s="3">
        <v>0</v>
      </c>
      <c r="L8" s="3">
        <v>1</v>
      </c>
      <c r="M8" s="3">
        <v>1</v>
      </c>
      <c r="N8" s="3">
        <v>0</v>
      </c>
      <c r="O8" s="3">
        <v>1</v>
      </c>
      <c r="P8" s="3">
        <v>1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4">
        <v>2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2</v>
      </c>
      <c r="AC8" s="51"/>
      <c r="AD8" s="51"/>
    </row>
    <row r="9" spans="1:30" x14ac:dyDescent="0.25">
      <c r="A9" s="46" t="s">
        <v>68</v>
      </c>
      <c r="B9" s="16">
        <v>1</v>
      </c>
      <c r="C9" s="3">
        <v>1</v>
      </c>
      <c r="D9" s="3">
        <v>1</v>
      </c>
      <c r="E9" s="3">
        <v>1</v>
      </c>
      <c r="F9" s="3">
        <v>0</v>
      </c>
      <c r="G9" s="3">
        <v>1</v>
      </c>
      <c r="H9" s="3">
        <v>2</v>
      </c>
      <c r="I9" s="3">
        <v>1</v>
      </c>
      <c r="J9" s="3">
        <v>1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0</v>
      </c>
      <c r="V9" s="4">
        <v>1</v>
      </c>
      <c r="W9" s="4">
        <v>0</v>
      </c>
      <c r="X9" s="4">
        <v>0</v>
      </c>
      <c r="Y9" s="4">
        <v>0</v>
      </c>
      <c r="Z9" s="4">
        <v>1</v>
      </c>
      <c r="AA9" s="4">
        <v>0</v>
      </c>
      <c r="AB9" s="4">
        <v>5</v>
      </c>
      <c r="AC9" s="51"/>
      <c r="AD9" s="51"/>
    </row>
    <row r="10" spans="1:30" x14ac:dyDescent="0.25">
      <c r="A10" s="46" t="s">
        <v>69</v>
      </c>
      <c r="B10" s="16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2</v>
      </c>
      <c r="I10" s="3">
        <v>0</v>
      </c>
      <c r="J10" s="3">
        <v>0</v>
      </c>
      <c r="K10" s="3">
        <v>0</v>
      </c>
      <c r="L10" s="3">
        <v>1</v>
      </c>
      <c r="M10" s="3">
        <v>1</v>
      </c>
      <c r="N10" s="3">
        <v>1</v>
      </c>
      <c r="O10" s="3">
        <v>0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4">
        <v>0</v>
      </c>
      <c r="W10" s="4">
        <v>0</v>
      </c>
      <c r="X10" s="4">
        <v>0</v>
      </c>
      <c r="Y10" s="4">
        <v>0</v>
      </c>
      <c r="Z10" s="4">
        <v>2</v>
      </c>
      <c r="AA10" s="4">
        <v>0</v>
      </c>
      <c r="AB10" s="4">
        <v>0</v>
      </c>
      <c r="AC10" s="51"/>
      <c r="AD10" s="51"/>
    </row>
    <row r="11" spans="1:30" x14ac:dyDescent="0.25">
      <c r="A11" s="46" t="s">
        <v>70</v>
      </c>
      <c r="B11" s="16">
        <v>1</v>
      </c>
      <c r="C11" s="3">
        <v>1</v>
      </c>
      <c r="D11" s="3">
        <v>1</v>
      </c>
      <c r="E11" s="3">
        <v>1</v>
      </c>
      <c r="F11" s="3">
        <v>0</v>
      </c>
      <c r="G11" s="3">
        <v>1</v>
      </c>
      <c r="H11" s="3">
        <v>2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1</v>
      </c>
      <c r="S11" s="3">
        <v>1</v>
      </c>
      <c r="T11" s="3">
        <v>1</v>
      </c>
      <c r="U11" s="3">
        <v>1</v>
      </c>
      <c r="V11" s="4">
        <v>3</v>
      </c>
      <c r="W11" s="4">
        <v>0</v>
      </c>
      <c r="X11" s="4">
        <v>2</v>
      </c>
      <c r="Y11" s="4">
        <v>0</v>
      </c>
      <c r="Z11" s="4">
        <v>2</v>
      </c>
      <c r="AA11" s="4">
        <v>1</v>
      </c>
      <c r="AB11" s="4">
        <v>5</v>
      </c>
      <c r="AC11" s="51"/>
      <c r="AD11" s="51"/>
    </row>
    <row r="12" spans="1:30" x14ac:dyDescent="0.25">
      <c r="A12" s="46" t="s">
        <v>71</v>
      </c>
      <c r="B12" s="16">
        <v>1</v>
      </c>
      <c r="C12" s="3">
        <v>0</v>
      </c>
      <c r="D12" s="3">
        <v>1</v>
      </c>
      <c r="E12" s="3">
        <v>1</v>
      </c>
      <c r="F12" s="3">
        <v>0</v>
      </c>
      <c r="G12" s="3">
        <v>1</v>
      </c>
      <c r="H12" s="3">
        <v>0</v>
      </c>
      <c r="I12" s="3">
        <v>0</v>
      </c>
      <c r="J12" s="3">
        <v>1</v>
      </c>
      <c r="K12" s="3">
        <v>0</v>
      </c>
      <c r="L12" s="3">
        <v>1</v>
      </c>
      <c r="M12" s="3">
        <v>1</v>
      </c>
      <c r="N12" s="3">
        <v>0</v>
      </c>
      <c r="O12" s="3">
        <v>1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4">
        <v>0</v>
      </c>
      <c r="W12" s="4">
        <v>0</v>
      </c>
      <c r="X12" s="4">
        <v>0</v>
      </c>
      <c r="Y12" s="4">
        <v>0</v>
      </c>
      <c r="Z12" s="4">
        <v>2</v>
      </c>
      <c r="AA12" s="4">
        <v>0</v>
      </c>
      <c r="AB12" s="4">
        <v>3</v>
      </c>
      <c r="AC12" s="51"/>
      <c r="AD12" s="51"/>
    </row>
    <row r="13" spans="1:30" x14ac:dyDescent="0.25">
      <c r="A13" s="46" t="s">
        <v>72</v>
      </c>
      <c r="B13" s="16">
        <v>1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2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4">
        <v>3</v>
      </c>
      <c r="W13" s="4">
        <v>1</v>
      </c>
      <c r="X13" s="4">
        <v>2</v>
      </c>
      <c r="Y13" s="4">
        <v>0</v>
      </c>
      <c r="Z13" s="4">
        <v>2</v>
      </c>
      <c r="AA13" s="4">
        <v>1</v>
      </c>
      <c r="AB13" s="4">
        <v>5</v>
      </c>
      <c r="AC13" s="51"/>
      <c r="AD13" s="51"/>
    </row>
    <row r="14" spans="1:30" x14ac:dyDescent="0.25">
      <c r="A14" s="46" t="s">
        <v>73</v>
      </c>
      <c r="B14" s="16">
        <v>1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1</v>
      </c>
      <c r="V14" s="4">
        <v>1</v>
      </c>
      <c r="W14" s="4">
        <v>0</v>
      </c>
      <c r="X14" s="4">
        <v>0</v>
      </c>
      <c r="Y14" s="4">
        <v>0</v>
      </c>
      <c r="Z14" s="4">
        <v>2</v>
      </c>
      <c r="AA14" s="4">
        <v>1</v>
      </c>
      <c r="AB14" s="4">
        <v>5</v>
      </c>
      <c r="AC14" s="51"/>
      <c r="AD14" s="51"/>
    </row>
    <row r="15" spans="1:30" x14ac:dyDescent="0.25">
      <c r="A15" s="46" t="s">
        <v>74</v>
      </c>
      <c r="B15" s="16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2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0</v>
      </c>
      <c r="R15" s="3">
        <v>1</v>
      </c>
      <c r="S15" s="3">
        <v>1</v>
      </c>
      <c r="T15" s="3">
        <v>1</v>
      </c>
      <c r="U15" s="3">
        <v>0</v>
      </c>
      <c r="V15" s="4">
        <v>3</v>
      </c>
      <c r="W15" s="4">
        <v>1</v>
      </c>
      <c r="X15" s="4">
        <v>2</v>
      </c>
      <c r="Y15" s="4">
        <v>2</v>
      </c>
      <c r="Z15" s="4">
        <v>2</v>
      </c>
      <c r="AA15" s="4">
        <v>1</v>
      </c>
      <c r="AB15" s="4">
        <v>7</v>
      </c>
      <c r="AC15" s="51"/>
      <c r="AD15" s="51"/>
    </row>
    <row r="16" spans="1:30" x14ac:dyDescent="0.25">
      <c r="A16" s="46" t="s">
        <v>75</v>
      </c>
      <c r="B16" s="16">
        <v>1</v>
      </c>
      <c r="C16" s="3">
        <v>1</v>
      </c>
      <c r="D16" s="3">
        <v>0</v>
      </c>
      <c r="E16" s="3">
        <v>1</v>
      </c>
      <c r="F16" s="3">
        <v>0</v>
      </c>
      <c r="G16" s="3">
        <v>1</v>
      </c>
      <c r="H16" s="3">
        <v>2</v>
      </c>
      <c r="I16" s="3">
        <v>0</v>
      </c>
      <c r="J16" s="3">
        <v>0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1</v>
      </c>
      <c r="T16" s="3">
        <v>0</v>
      </c>
      <c r="U16" s="3">
        <v>0</v>
      </c>
      <c r="V16" s="4">
        <v>0</v>
      </c>
      <c r="W16" s="4">
        <v>0</v>
      </c>
      <c r="X16" s="4">
        <v>1</v>
      </c>
      <c r="Y16" s="4">
        <v>0</v>
      </c>
      <c r="Z16" s="4">
        <v>2</v>
      </c>
      <c r="AA16" s="4">
        <v>0</v>
      </c>
      <c r="AB16" s="4">
        <v>2</v>
      </c>
      <c r="AC16" s="51"/>
      <c r="AD16" s="51"/>
    </row>
    <row r="17" spans="1:30" x14ac:dyDescent="0.25">
      <c r="A17" s="46" t="s">
        <v>76</v>
      </c>
      <c r="B17" s="16">
        <v>1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H17" s="3">
        <v>2</v>
      </c>
      <c r="I17" s="3">
        <v>1</v>
      </c>
      <c r="J17" s="3">
        <v>0</v>
      </c>
      <c r="K17" s="3">
        <v>0</v>
      </c>
      <c r="L17" s="3">
        <v>1</v>
      </c>
      <c r="M17" s="3">
        <v>1</v>
      </c>
      <c r="N17" s="3">
        <v>0</v>
      </c>
      <c r="O17" s="3">
        <v>1</v>
      </c>
      <c r="P17" s="3">
        <v>1</v>
      </c>
      <c r="Q17" s="3">
        <v>0</v>
      </c>
      <c r="R17" s="3">
        <v>1</v>
      </c>
      <c r="S17" s="3">
        <v>1</v>
      </c>
      <c r="T17" s="3">
        <v>0</v>
      </c>
      <c r="U17" s="3">
        <v>0</v>
      </c>
      <c r="V17" s="4">
        <v>0</v>
      </c>
      <c r="W17" s="4">
        <v>0</v>
      </c>
      <c r="X17" s="4">
        <v>0</v>
      </c>
      <c r="Y17" s="4">
        <v>0</v>
      </c>
      <c r="Z17" s="4">
        <v>2</v>
      </c>
      <c r="AA17" s="4">
        <v>1</v>
      </c>
      <c r="AB17" s="4">
        <v>1</v>
      </c>
      <c r="AC17" s="51"/>
      <c r="AD17" s="51"/>
    </row>
    <row r="18" spans="1:30" x14ac:dyDescent="0.25">
      <c r="A18" s="46" t="s">
        <v>77</v>
      </c>
      <c r="B18" s="16">
        <v>1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2</v>
      </c>
      <c r="I18" s="3">
        <v>1</v>
      </c>
      <c r="J18" s="3">
        <v>1</v>
      </c>
      <c r="K18" s="3">
        <v>0</v>
      </c>
      <c r="L18" s="3">
        <v>1</v>
      </c>
      <c r="M18" s="3">
        <v>1</v>
      </c>
      <c r="N18" s="3">
        <v>0</v>
      </c>
      <c r="O18" s="3">
        <v>1</v>
      </c>
      <c r="P18" s="3">
        <v>1</v>
      </c>
      <c r="Q18" s="3">
        <v>0</v>
      </c>
      <c r="R18" s="3">
        <v>0</v>
      </c>
      <c r="S18" s="3">
        <v>1</v>
      </c>
      <c r="T18" s="3">
        <v>1</v>
      </c>
      <c r="U18" s="3">
        <v>0</v>
      </c>
      <c r="V18" s="4">
        <v>1</v>
      </c>
      <c r="W18" s="4">
        <v>0</v>
      </c>
      <c r="X18" s="4">
        <v>0</v>
      </c>
      <c r="Y18" s="4">
        <v>0</v>
      </c>
      <c r="Z18" s="4">
        <v>2</v>
      </c>
      <c r="AA18" s="4">
        <v>1</v>
      </c>
      <c r="AB18" s="4">
        <v>5</v>
      </c>
      <c r="AC18" s="51"/>
      <c r="AD18" s="51"/>
    </row>
    <row r="19" spans="1:30" x14ac:dyDescent="0.25">
      <c r="A19" s="46" t="s">
        <v>78</v>
      </c>
      <c r="B19" s="16">
        <v>1</v>
      </c>
      <c r="C19" s="3">
        <v>1</v>
      </c>
      <c r="D19" s="3">
        <v>1</v>
      </c>
      <c r="E19" s="3">
        <v>1</v>
      </c>
      <c r="F19" s="3">
        <v>0</v>
      </c>
      <c r="G19" s="3">
        <v>1</v>
      </c>
      <c r="H19" s="3">
        <v>2</v>
      </c>
      <c r="I19" s="3">
        <v>0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0</v>
      </c>
      <c r="U19" s="3">
        <v>1</v>
      </c>
      <c r="V19" s="4">
        <v>1</v>
      </c>
      <c r="W19" s="4">
        <v>0</v>
      </c>
      <c r="X19" s="4">
        <v>1</v>
      </c>
      <c r="Y19" s="4">
        <v>0</v>
      </c>
      <c r="Z19" s="4">
        <v>1</v>
      </c>
      <c r="AA19" s="4">
        <v>0</v>
      </c>
      <c r="AB19" s="4">
        <v>6</v>
      </c>
      <c r="AC19" s="51"/>
      <c r="AD19" s="51"/>
    </row>
    <row r="20" spans="1:30" x14ac:dyDescent="0.25">
      <c r="A20" s="46" t="s">
        <v>79</v>
      </c>
      <c r="B20" s="16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1</v>
      </c>
      <c r="O20" s="3">
        <v>0</v>
      </c>
      <c r="P20" s="3">
        <v>1</v>
      </c>
      <c r="Q20" s="3">
        <v>0</v>
      </c>
      <c r="R20" s="3">
        <v>0</v>
      </c>
      <c r="S20" s="3">
        <v>1</v>
      </c>
      <c r="T20" s="3">
        <v>1</v>
      </c>
      <c r="U20" s="3">
        <v>0</v>
      </c>
      <c r="V20" s="4">
        <v>1</v>
      </c>
      <c r="W20" s="4">
        <v>0</v>
      </c>
      <c r="X20" s="4">
        <v>1</v>
      </c>
      <c r="Y20" s="4">
        <v>0</v>
      </c>
      <c r="Z20" s="4">
        <v>2</v>
      </c>
      <c r="AA20" s="4">
        <v>1</v>
      </c>
      <c r="AB20" s="4">
        <v>0</v>
      </c>
      <c r="AC20" s="51"/>
      <c r="AD20" s="51"/>
    </row>
    <row r="21" spans="1:30" x14ac:dyDescent="0.25">
      <c r="A21" s="46" t="s">
        <v>80</v>
      </c>
      <c r="B21" s="16">
        <v>1</v>
      </c>
      <c r="C21" s="3">
        <v>1</v>
      </c>
      <c r="D21" s="3">
        <v>1</v>
      </c>
      <c r="E21" s="3">
        <v>1</v>
      </c>
      <c r="F21" s="3">
        <v>0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0</v>
      </c>
      <c r="R21" s="3">
        <v>1</v>
      </c>
      <c r="S21" s="3">
        <v>1</v>
      </c>
      <c r="T21" s="3">
        <v>1</v>
      </c>
      <c r="U21" s="3">
        <v>1</v>
      </c>
      <c r="V21" s="4">
        <v>0</v>
      </c>
      <c r="W21" s="4">
        <v>0</v>
      </c>
      <c r="X21" s="4">
        <v>0</v>
      </c>
      <c r="Y21" s="4">
        <v>0</v>
      </c>
      <c r="Z21" s="4">
        <v>2</v>
      </c>
      <c r="AA21" s="4">
        <v>1</v>
      </c>
      <c r="AB21" s="4">
        <v>0</v>
      </c>
      <c r="AC21" s="51"/>
      <c r="AD21" s="51"/>
    </row>
    <row r="22" spans="1:30" x14ac:dyDescent="0.25">
      <c r="A22" s="46" t="s">
        <v>81</v>
      </c>
      <c r="B22" s="16">
        <v>1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4">
        <v>1</v>
      </c>
      <c r="W22" s="4">
        <v>0</v>
      </c>
      <c r="X22" s="4">
        <v>2</v>
      </c>
      <c r="Y22" s="4">
        <v>1</v>
      </c>
      <c r="Z22" s="4">
        <v>2</v>
      </c>
      <c r="AA22" s="4">
        <v>1</v>
      </c>
      <c r="AB22" s="4">
        <v>0</v>
      </c>
      <c r="AC22" s="51"/>
      <c r="AD22" s="51"/>
    </row>
    <row r="23" spans="1:30" x14ac:dyDescent="0.25">
      <c r="A23" s="46" t="s">
        <v>82</v>
      </c>
      <c r="B23" s="16">
        <v>1</v>
      </c>
      <c r="C23" s="3">
        <v>1</v>
      </c>
      <c r="D23" s="3">
        <v>1</v>
      </c>
      <c r="E23" s="3">
        <v>1</v>
      </c>
      <c r="F23" s="3">
        <v>0</v>
      </c>
      <c r="G23" s="3">
        <v>1</v>
      </c>
      <c r="H23" s="3">
        <v>2</v>
      </c>
      <c r="I23" s="3">
        <v>1</v>
      </c>
      <c r="J23" s="3">
        <v>1</v>
      </c>
      <c r="K23" s="3">
        <v>1</v>
      </c>
      <c r="L23" s="3">
        <v>0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4">
        <v>3</v>
      </c>
      <c r="W23" s="4">
        <v>1</v>
      </c>
      <c r="X23" s="4">
        <v>1</v>
      </c>
      <c r="Y23" s="4">
        <v>0</v>
      </c>
      <c r="Z23" s="4">
        <v>2</v>
      </c>
      <c r="AA23" s="4">
        <v>1</v>
      </c>
      <c r="AB23" s="4">
        <v>8</v>
      </c>
      <c r="AC23" s="51"/>
      <c r="AD23" s="51"/>
    </row>
    <row r="24" spans="1:30" x14ac:dyDescent="0.25">
      <c r="A24" s="46" t="s">
        <v>83</v>
      </c>
      <c r="B24" s="16">
        <v>1</v>
      </c>
      <c r="C24" s="3">
        <v>1</v>
      </c>
      <c r="D24" s="3">
        <v>1</v>
      </c>
      <c r="E24" s="3">
        <v>1</v>
      </c>
      <c r="F24" s="3">
        <v>0</v>
      </c>
      <c r="G24" s="3">
        <v>1</v>
      </c>
      <c r="H24" s="3">
        <v>2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0</v>
      </c>
      <c r="R24" s="3">
        <v>1</v>
      </c>
      <c r="S24" s="3">
        <v>1</v>
      </c>
      <c r="T24" s="3">
        <v>1</v>
      </c>
      <c r="U24" s="3">
        <v>1</v>
      </c>
      <c r="V24" s="4">
        <v>3</v>
      </c>
      <c r="W24" s="4">
        <v>0</v>
      </c>
      <c r="X24" s="4">
        <v>2</v>
      </c>
      <c r="Y24" s="4">
        <v>0</v>
      </c>
      <c r="Z24" s="4">
        <v>2</v>
      </c>
      <c r="AA24" s="4">
        <v>1</v>
      </c>
      <c r="AB24" s="4">
        <v>5</v>
      </c>
      <c r="AC24" s="51"/>
      <c r="AD24" s="51"/>
    </row>
    <row r="25" spans="1:30" x14ac:dyDescent="0.25">
      <c r="A25" s="46" t="s">
        <v>84</v>
      </c>
      <c r="B25" s="16">
        <v>1</v>
      </c>
      <c r="C25" s="3">
        <v>0</v>
      </c>
      <c r="D25" s="3">
        <v>1</v>
      </c>
      <c r="E25" s="3">
        <v>1</v>
      </c>
      <c r="F25" s="3">
        <v>1</v>
      </c>
      <c r="G25" s="3">
        <v>1</v>
      </c>
      <c r="H25" s="3">
        <v>2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  <c r="R25" s="3">
        <v>1</v>
      </c>
      <c r="S25" s="3">
        <v>1</v>
      </c>
      <c r="T25" s="3">
        <v>1</v>
      </c>
      <c r="U25" s="3">
        <v>1</v>
      </c>
      <c r="V25" s="4">
        <v>3</v>
      </c>
      <c r="W25" s="4">
        <v>1</v>
      </c>
      <c r="X25" s="4">
        <v>0</v>
      </c>
      <c r="Y25" s="4">
        <v>0</v>
      </c>
      <c r="Z25" s="4">
        <v>2</v>
      </c>
      <c r="AA25" s="4">
        <v>1</v>
      </c>
      <c r="AB25" s="4">
        <v>7</v>
      </c>
      <c r="AC25" s="51"/>
      <c r="AD25" s="51"/>
    </row>
    <row r="26" spans="1:30" x14ac:dyDescent="0.25">
      <c r="A26" s="46" t="s">
        <v>85</v>
      </c>
      <c r="B26" s="16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2</v>
      </c>
      <c r="I26" s="3">
        <v>0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0</v>
      </c>
      <c r="P26" s="3">
        <v>1</v>
      </c>
      <c r="Q26" s="3">
        <v>0</v>
      </c>
      <c r="R26" s="3">
        <v>1</v>
      </c>
      <c r="S26" s="3">
        <v>1</v>
      </c>
      <c r="T26" s="3">
        <v>0</v>
      </c>
      <c r="U26" s="3">
        <v>1</v>
      </c>
      <c r="V26" s="4">
        <v>1</v>
      </c>
      <c r="W26" s="4">
        <v>0</v>
      </c>
      <c r="X26" s="4">
        <v>2</v>
      </c>
      <c r="Y26" s="4">
        <v>0</v>
      </c>
      <c r="Z26" s="4">
        <v>1</v>
      </c>
      <c r="AA26" s="4">
        <v>1</v>
      </c>
      <c r="AB26" s="4">
        <v>3</v>
      </c>
      <c r="AC26" s="51"/>
      <c r="AD26" s="51"/>
    </row>
    <row r="27" spans="1:30" x14ac:dyDescent="0.25">
      <c r="A27" s="46" t="s">
        <v>86</v>
      </c>
      <c r="B27" s="16">
        <v>1</v>
      </c>
      <c r="C27" s="3">
        <v>1</v>
      </c>
      <c r="D27" s="3">
        <v>0</v>
      </c>
      <c r="E27" s="3">
        <v>0</v>
      </c>
      <c r="F27" s="3">
        <v>1</v>
      </c>
      <c r="G27" s="3">
        <v>1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0</v>
      </c>
      <c r="U27" s="3">
        <v>0</v>
      </c>
      <c r="V27" s="4">
        <v>1</v>
      </c>
      <c r="W27" s="4">
        <v>0</v>
      </c>
      <c r="X27" s="4">
        <v>0</v>
      </c>
      <c r="Y27" s="4">
        <v>0</v>
      </c>
      <c r="Z27" s="4">
        <v>2</v>
      </c>
      <c r="AA27" s="4">
        <v>0</v>
      </c>
      <c r="AB27" s="4">
        <v>5</v>
      </c>
      <c r="AC27" s="51"/>
      <c r="AD27" s="51"/>
    </row>
    <row r="28" spans="1:30" x14ac:dyDescent="0.25">
      <c r="A28" s="46" t="s">
        <v>87</v>
      </c>
      <c r="B28" s="16">
        <v>1</v>
      </c>
      <c r="C28" s="3">
        <v>0</v>
      </c>
      <c r="D28" s="3">
        <v>1</v>
      </c>
      <c r="E28" s="3">
        <v>0</v>
      </c>
      <c r="F28" s="3">
        <v>0</v>
      </c>
      <c r="G28" s="3">
        <v>1</v>
      </c>
      <c r="H28" s="3">
        <v>2</v>
      </c>
      <c r="I28" s="3">
        <v>1</v>
      </c>
      <c r="J28" s="3">
        <v>1</v>
      </c>
      <c r="K28" s="3">
        <v>0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0</v>
      </c>
      <c r="R28" s="3">
        <v>1</v>
      </c>
      <c r="S28" s="3">
        <v>1</v>
      </c>
      <c r="T28" s="3">
        <v>0</v>
      </c>
      <c r="U28" s="3">
        <v>0</v>
      </c>
      <c r="V28" s="4">
        <v>3</v>
      </c>
      <c r="W28" s="4">
        <v>1</v>
      </c>
      <c r="X28" s="4">
        <v>0</v>
      </c>
      <c r="Y28" s="4">
        <v>0</v>
      </c>
      <c r="Z28" s="4">
        <v>2</v>
      </c>
      <c r="AA28" s="4">
        <v>0</v>
      </c>
      <c r="AB28" s="4">
        <v>4</v>
      </c>
      <c r="AC28" s="51"/>
      <c r="AD28" s="51"/>
    </row>
    <row r="29" spans="1:30" x14ac:dyDescent="0.25">
      <c r="A29" s="46" t="s">
        <v>88</v>
      </c>
      <c r="B29" s="16">
        <v>1</v>
      </c>
      <c r="C29" s="3">
        <v>1</v>
      </c>
      <c r="D29" s="3">
        <v>1</v>
      </c>
      <c r="E29" s="3">
        <v>1</v>
      </c>
      <c r="F29" s="3">
        <v>0</v>
      </c>
      <c r="G29" s="3">
        <v>1</v>
      </c>
      <c r="H29" s="3">
        <v>2</v>
      </c>
      <c r="I29" s="3">
        <v>0</v>
      </c>
      <c r="J29" s="3">
        <v>1</v>
      </c>
      <c r="K29" s="3">
        <v>0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4">
        <v>3</v>
      </c>
      <c r="W29" s="4">
        <v>1</v>
      </c>
      <c r="X29" s="4">
        <v>2</v>
      </c>
      <c r="Y29" s="4">
        <v>0</v>
      </c>
      <c r="Z29" s="4">
        <v>1</v>
      </c>
      <c r="AA29" s="4">
        <v>0</v>
      </c>
      <c r="AB29" s="4">
        <v>5</v>
      </c>
      <c r="AC29" s="51"/>
      <c r="AD29" s="51"/>
    </row>
    <row r="30" spans="1:30" x14ac:dyDescent="0.25">
      <c r="A30" s="46" t="s">
        <v>89</v>
      </c>
      <c r="B30" s="16">
        <v>1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2</v>
      </c>
      <c r="I30" s="3">
        <v>0</v>
      </c>
      <c r="J30" s="3">
        <v>1</v>
      </c>
      <c r="K30" s="3">
        <v>0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0</v>
      </c>
      <c r="V30" s="4">
        <v>2</v>
      </c>
      <c r="W30" s="4">
        <v>0</v>
      </c>
      <c r="X30" s="4">
        <v>0</v>
      </c>
      <c r="Y30" s="4">
        <v>0</v>
      </c>
      <c r="Z30" s="4">
        <v>2</v>
      </c>
      <c r="AA30" s="4">
        <v>1</v>
      </c>
      <c r="AB30" s="4">
        <v>1</v>
      </c>
      <c r="AC30" s="51"/>
      <c r="AD30" s="51"/>
    </row>
    <row r="31" spans="1:30" x14ac:dyDescent="0.25">
      <c r="A31" s="46" t="s">
        <v>90</v>
      </c>
      <c r="B31" s="16">
        <v>1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2</v>
      </c>
      <c r="I31" s="3">
        <v>1</v>
      </c>
      <c r="J31" s="3">
        <v>1</v>
      </c>
      <c r="K31" s="3">
        <v>0</v>
      </c>
      <c r="L31" s="3">
        <v>1</v>
      </c>
      <c r="M31" s="3">
        <v>1</v>
      </c>
      <c r="N31" s="3">
        <v>0</v>
      </c>
      <c r="O31" s="3">
        <v>1</v>
      </c>
      <c r="P31" s="3">
        <v>1</v>
      </c>
      <c r="Q31" s="3">
        <v>0</v>
      </c>
      <c r="R31" s="3">
        <v>1</v>
      </c>
      <c r="S31" s="3">
        <v>1</v>
      </c>
      <c r="T31" s="3">
        <v>0</v>
      </c>
      <c r="U31" s="3">
        <v>0</v>
      </c>
      <c r="V31" s="4">
        <v>1</v>
      </c>
      <c r="W31" s="4">
        <v>0</v>
      </c>
      <c r="X31" s="4">
        <v>0</v>
      </c>
      <c r="Y31" s="4">
        <v>0</v>
      </c>
      <c r="Z31" s="4">
        <v>2</v>
      </c>
      <c r="AA31" s="4">
        <v>1</v>
      </c>
      <c r="AB31" s="4">
        <v>4</v>
      </c>
      <c r="AC31" s="51"/>
      <c r="AD31" s="51"/>
    </row>
    <row r="32" spans="1:30" ht="15.75" thickBot="1" x14ac:dyDescent="0.3">
      <c r="A32" s="47" t="s">
        <v>91</v>
      </c>
      <c r="B32" s="16">
        <v>1</v>
      </c>
      <c r="C32" s="3">
        <v>1</v>
      </c>
      <c r="D32" s="3">
        <v>1</v>
      </c>
      <c r="E32" s="3">
        <v>0</v>
      </c>
      <c r="F32" s="3">
        <v>1</v>
      </c>
      <c r="G32" s="3">
        <v>1</v>
      </c>
      <c r="H32" s="3">
        <v>2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0</v>
      </c>
      <c r="R32" s="3">
        <v>1</v>
      </c>
      <c r="S32" s="3">
        <v>1</v>
      </c>
      <c r="T32" s="3">
        <v>1</v>
      </c>
      <c r="U32" s="3">
        <v>0</v>
      </c>
      <c r="V32" s="4">
        <v>3</v>
      </c>
      <c r="W32" s="4">
        <v>1</v>
      </c>
      <c r="X32" s="4">
        <v>1</v>
      </c>
      <c r="Y32" s="4">
        <v>0</v>
      </c>
      <c r="Z32" s="4">
        <v>2</v>
      </c>
      <c r="AA32" s="4">
        <v>0</v>
      </c>
      <c r="AB32" s="4">
        <v>3</v>
      </c>
      <c r="AC32" s="51"/>
      <c r="AD32" s="51"/>
    </row>
    <row r="35" spans="1:28" x14ac:dyDescent="0.25">
      <c r="A35" s="49" t="s">
        <v>162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x14ac:dyDescent="0.25">
      <c r="A36" s="49" t="s">
        <v>163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ht="30" x14ac:dyDescent="0.25">
      <c r="A37" s="50" t="s">
        <v>164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ht="30" x14ac:dyDescent="0.25">
      <c r="A38" s="50" t="s">
        <v>165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44" spans="1:28" ht="15.75" thickBot="1" x14ac:dyDescent="0.3"/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/>
      <c r="C47" s="73"/>
      <c r="D47" s="73"/>
      <c r="E47" s="73"/>
      <c r="F47" s="74"/>
      <c r="G47" s="72"/>
      <c r="H47" s="73"/>
      <c r="I47" s="73"/>
      <c r="J47" s="73"/>
      <c r="K47" s="74"/>
      <c r="L47" s="72"/>
      <c r="M47" s="73"/>
      <c r="N47" s="73"/>
      <c r="O47" s="73"/>
      <c r="P47" s="74"/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/>
    </row>
    <row r="53" spans="2:6" x14ac:dyDescent="0.25">
      <c r="B53" s="89" t="s">
        <v>173</v>
      </c>
      <c r="C53" s="87"/>
      <c r="D53" s="87"/>
      <c r="E53" s="87"/>
      <c r="F53" s="90"/>
    </row>
    <row r="54" spans="2:6" x14ac:dyDescent="0.25">
      <c r="B54" s="89" t="s">
        <v>174</v>
      </c>
      <c r="C54" s="87"/>
      <c r="D54" s="87"/>
      <c r="E54" s="87"/>
      <c r="F54" s="90"/>
    </row>
    <row r="55" spans="2:6" x14ac:dyDescent="0.25">
      <c r="B55" s="89" t="s">
        <v>175</v>
      </c>
      <c r="C55" s="87"/>
      <c r="D55" s="87"/>
      <c r="E55" s="87"/>
      <c r="F55" s="90"/>
    </row>
    <row r="56" spans="2:6" x14ac:dyDescent="0.25">
      <c r="B56" s="89" t="s">
        <v>176</v>
      </c>
      <c r="C56" s="87"/>
      <c r="D56" s="87"/>
      <c r="E56" s="87"/>
      <c r="F56" s="90"/>
    </row>
    <row r="57" spans="2:6" x14ac:dyDescent="0.25">
      <c r="B57" s="89" t="s">
        <v>177</v>
      </c>
      <c r="C57" s="87"/>
      <c r="D57" s="87"/>
      <c r="E57" s="87"/>
      <c r="F57" s="90"/>
    </row>
    <row r="58" spans="2:6" x14ac:dyDescent="0.25">
      <c r="B58" s="89" t="s">
        <v>178</v>
      </c>
      <c r="C58" s="87"/>
      <c r="D58" s="87"/>
      <c r="E58" s="87"/>
      <c r="F58" s="90"/>
    </row>
    <row r="59" spans="2:6" x14ac:dyDescent="0.25">
      <c r="B59" s="89" t="s">
        <v>179</v>
      </c>
      <c r="C59" s="87"/>
      <c r="D59" s="87"/>
      <c r="E59" s="87"/>
      <c r="F59" s="90"/>
    </row>
    <row r="60" spans="2:6" ht="15.75" thickBot="1" x14ac:dyDescent="0.3">
      <c r="B60" s="88" t="s">
        <v>180</v>
      </c>
      <c r="C60" s="84"/>
      <c r="D60" s="84"/>
      <c r="E60" s="84"/>
      <c r="F60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BA3A-5E0D-40DC-A6BF-759326F85747}">
  <dimension ref="A1:AD60"/>
  <sheetViews>
    <sheetView zoomScale="70" zoomScaleNormal="70" workbookViewId="0">
      <selection activeCell="C2" sqref="C2"/>
    </sheetView>
  </sheetViews>
  <sheetFormatPr defaultRowHeight="15" x14ac:dyDescent="0.25"/>
  <cols>
    <col min="1" max="1" width="20" customWidth="1"/>
  </cols>
  <sheetData>
    <row r="1" spans="1:30" ht="30.75" thickBot="1" x14ac:dyDescent="0.3">
      <c r="A1" s="6" t="s">
        <v>92</v>
      </c>
      <c r="B1" s="64" t="s">
        <v>169</v>
      </c>
      <c r="C1" s="63">
        <v>25</v>
      </c>
    </row>
    <row r="2" spans="1:30" ht="15.75" thickBot="1" x14ac:dyDescent="0.3"/>
    <row r="3" spans="1:30" x14ac:dyDescent="0.25">
      <c r="A3" s="45" t="s">
        <v>0</v>
      </c>
      <c r="B3" s="32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40" t="s">
        <v>1</v>
      </c>
      <c r="W3" s="40" t="s">
        <v>2</v>
      </c>
      <c r="X3" s="40" t="s">
        <v>3</v>
      </c>
      <c r="Y3" s="41" t="s">
        <v>4</v>
      </c>
      <c r="Z3" s="40">
        <v>23</v>
      </c>
      <c r="AA3" s="40">
        <v>24</v>
      </c>
      <c r="AB3" s="42">
        <v>25</v>
      </c>
    </row>
    <row r="4" spans="1:30" x14ac:dyDescent="0.25">
      <c r="A4" s="46" t="s">
        <v>5</v>
      </c>
      <c r="B4" s="33" t="s">
        <v>6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7</v>
      </c>
      <c r="T4" s="1" t="s">
        <v>9</v>
      </c>
      <c r="U4" s="1" t="s">
        <v>9</v>
      </c>
      <c r="V4" s="2" t="s">
        <v>7</v>
      </c>
      <c r="W4" s="2" t="s">
        <v>9</v>
      </c>
      <c r="X4" s="2" t="s">
        <v>7</v>
      </c>
      <c r="Y4" s="2" t="s">
        <v>9</v>
      </c>
      <c r="Z4" s="2" t="s">
        <v>6</v>
      </c>
      <c r="AA4" s="2" t="s">
        <v>6</v>
      </c>
      <c r="AB4" s="11" t="s">
        <v>10</v>
      </c>
    </row>
    <row r="5" spans="1:30" ht="15.75" thickBot="1" x14ac:dyDescent="0.3">
      <c r="A5" s="44" t="s">
        <v>120</v>
      </c>
      <c r="B5" s="34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2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3">
        <v>3</v>
      </c>
      <c r="W5" s="13">
        <v>1</v>
      </c>
      <c r="X5" s="13">
        <v>2</v>
      </c>
      <c r="Y5" s="13">
        <v>2</v>
      </c>
      <c r="Z5" s="13">
        <v>2</v>
      </c>
      <c r="AA5" s="13">
        <v>1</v>
      </c>
      <c r="AB5" s="14">
        <v>8</v>
      </c>
      <c r="AC5" s="56" t="s">
        <v>162</v>
      </c>
      <c r="AD5" s="56" t="s">
        <v>163</v>
      </c>
    </row>
    <row r="6" spans="1:30" x14ac:dyDescent="0.25">
      <c r="A6" s="45" t="s">
        <v>93</v>
      </c>
      <c r="B6" s="17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2</v>
      </c>
      <c r="I6" s="18">
        <v>1</v>
      </c>
      <c r="J6" s="18">
        <v>1</v>
      </c>
      <c r="K6" s="18">
        <v>0</v>
      </c>
      <c r="L6" s="18">
        <v>0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0</v>
      </c>
      <c r="S6" s="18">
        <v>1</v>
      </c>
      <c r="T6" s="18">
        <v>1</v>
      </c>
      <c r="U6" s="18">
        <v>0</v>
      </c>
      <c r="V6" s="19">
        <v>0</v>
      </c>
      <c r="W6" s="19">
        <v>0</v>
      </c>
      <c r="X6" s="19">
        <v>0</v>
      </c>
      <c r="Y6" s="19">
        <v>0</v>
      </c>
      <c r="Z6" s="19">
        <v>2</v>
      </c>
      <c r="AA6" s="19">
        <v>1</v>
      </c>
      <c r="AB6" s="25">
        <v>3</v>
      </c>
      <c r="AC6" s="67"/>
      <c r="AD6" s="51"/>
    </row>
    <row r="7" spans="1:30" x14ac:dyDescent="0.25">
      <c r="A7" s="46" t="s">
        <v>94</v>
      </c>
      <c r="B7" s="20">
        <v>1</v>
      </c>
      <c r="C7" s="3">
        <v>1</v>
      </c>
      <c r="D7" s="3">
        <v>0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>
        <v>1</v>
      </c>
      <c r="K7" s="3">
        <v>0</v>
      </c>
      <c r="L7" s="3">
        <v>1</v>
      </c>
      <c r="M7" s="3">
        <v>1</v>
      </c>
      <c r="N7" s="3">
        <v>1</v>
      </c>
      <c r="O7" s="3">
        <v>0</v>
      </c>
      <c r="P7" s="3">
        <v>1</v>
      </c>
      <c r="Q7" s="3">
        <v>0</v>
      </c>
      <c r="R7" s="3">
        <v>0</v>
      </c>
      <c r="S7" s="3">
        <v>1</v>
      </c>
      <c r="T7" s="3">
        <v>0</v>
      </c>
      <c r="U7" s="3">
        <v>1</v>
      </c>
      <c r="V7" s="4">
        <v>2</v>
      </c>
      <c r="W7" s="4">
        <v>0</v>
      </c>
      <c r="X7" s="4">
        <v>1</v>
      </c>
      <c r="Y7" s="4">
        <v>0</v>
      </c>
      <c r="Z7" s="4">
        <v>2</v>
      </c>
      <c r="AA7" s="4">
        <v>1</v>
      </c>
      <c r="AB7" s="26">
        <v>4</v>
      </c>
      <c r="AC7" s="67"/>
      <c r="AD7" s="51"/>
    </row>
    <row r="8" spans="1:30" x14ac:dyDescent="0.25">
      <c r="A8" s="46" t="s">
        <v>95</v>
      </c>
      <c r="B8" s="20">
        <v>1</v>
      </c>
      <c r="C8" s="3">
        <v>0</v>
      </c>
      <c r="D8" s="3">
        <v>1</v>
      </c>
      <c r="E8" s="3">
        <v>0</v>
      </c>
      <c r="F8" s="3">
        <v>1</v>
      </c>
      <c r="G8" s="3">
        <v>1</v>
      </c>
      <c r="H8" s="3">
        <v>2</v>
      </c>
      <c r="I8" s="3">
        <v>0</v>
      </c>
      <c r="J8" s="3">
        <v>1</v>
      </c>
      <c r="K8" s="3">
        <v>0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1</v>
      </c>
      <c r="T8" s="3">
        <v>0</v>
      </c>
      <c r="U8" s="3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26">
        <v>5</v>
      </c>
      <c r="AC8" s="67"/>
      <c r="AD8" s="51"/>
    </row>
    <row r="9" spans="1:30" x14ac:dyDescent="0.25">
      <c r="A9" s="46" t="s">
        <v>96</v>
      </c>
      <c r="B9" s="20">
        <v>1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1</v>
      </c>
      <c r="J9" s="3">
        <v>1</v>
      </c>
      <c r="K9" s="3">
        <v>0</v>
      </c>
      <c r="L9" s="3">
        <v>1</v>
      </c>
      <c r="M9" s="3">
        <v>1</v>
      </c>
      <c r="N9" s="3">
        <v>1</v>
      </c>
      <c r="O9" s="3">
        <v>0</v>
      </c>
      <c r="P9" s="3">
        <v>1</v>
      </c>
      <c r="Q9" s="3">
        <v>0</v>
      </c>
      <c r="R9" s="3">
        <v>1</v>
      </c>
      <c r="S9" s="3">
        <v>0</v>
      </c>
      <c r="T9" s="3">
        <v>1</v>
      </c>
      <c r="U9" s="3">
        <v>1</v>
      </c>
      <c r="V9" s="4">
        <v>2</v>
      </c>
      <c r="W9" s="4">
        <v>1</v>
      </c>
      <c r="X9" s="4">
        <v>0</v>
      </c>
      <c r="Y9" s="4">
        <v>0</v>
      </c>
      <c r="Z9" s="4">
        <v>2</v>
      </c>
      <c r="AA9" s="4">
        <v>1</v>
      </c>
      <c r="AB9" s="26">
        <v>0</v>
      </c>
      <c r="AC9" s="67"/>
      <c r="AD9" s="51"/>
    </row>
    <row r="10" spans="1:30" x14ac:dyDescent="0.25">
      <c r="A10" s="46" t="s">
        <v>97</v>
      </c>
      <c r="B10" s="20">
        <v>1</v>
      </c>
      <c r="C10" s="3">
        <v>1</v>
      </c>
      <c r="D10" s="3">
        <v>1</v>
      </c>
      <c r="E10" s="3">
        <v>1</v>
      </c>
      <c r="F10" s="3">
        <v>0</v>
      </c>
      <c r="G10" s="3">
        <v>1</v>
      </c>
      <c r="H10" s="3">
        <v>2</v>
      </c>
      <c r="I10" s="3">
        <v>0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4">
        <v>0</v>
      </c>
      <c r="W10" s="4">
        <v>0</v>
      </c>
      <c r="X10" s="4">
        <v>2</v>
      </c>
      <c r="Y10" s="4">
        <v>2</v>
      </c>
      <c r="Z10" s="4">
        <v>2</v>
      </c>
      <c r="AA10" s="4">
        <v>1</v>
      </c>
      <c r="AB10" s="26">
        <v>4</v>
      </c>
      <c r="AC10" s="67"/>
      <c r="AD10" s="51"/>
    </row>
    <row r="11" spans="1:30" x14ac:dyDescent="0.25">
      <c r="A11" s="46" t="s">
        <v>98</v>
      </c>
      <c r="B11" s="20">
        <v>1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1</v>
      </c>
      <c r="P11" s="3">
        <v>1</v>
      </c>
      <c r="Q11" s="3">
        <v>0</v>
      </c>
      <c r="R11" s="3">
        <v>1</v>
      </c>
      <c r="S11" s="3">
        <v>1</v>
      </c>
      <c r="T11" s="3">
        <v>0</v>
      </c>
      <c r="U11" s="3">
        <v>0</v>
      </c>
      <c r="V11" s="4">
        <v>2</v>
      </c>
      <c r="W11" s="4">
        <v>0</v>
      </c>
      <c r="X11" s="4">
        <v>0</v>
      </c>
      <c r="Y11" s="4">
        <v>0</v>
      </c>
      <c r="Z11" s="4">
        <v>2</v>
      </c>
      <c r="AA11" s="4">
        <v>0</v>
      </c>
      <c r="AB11" s="26">
        <v>1</v>
      </c>
      <c r="AC11" s="67"/>
      <c r="AD11" s="51"/>
    </row>
    <row r="12" spans="1:30" x14ac:dyDescent="0.25">
      <c r="A12" s="46" t="s">
        <v>99</v>
      </c>
      <c r="B12" s="20">
        <v>1</v>
      </c>
      <c r="C12" s="3">
        <v>1</v>
      </c>
      <c r="D12" s="3">
        <v>1</v>
      </c>
      <c r="E12" s="3">
        <v>0</v>
      </c>
      <c r="F12" s="3">
        <v>1</v>
      </c>
      <c r="G12" s="3">
        <v>1</v>
      </c>
      <c r="H12" s="3">
        <v>2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4">
        <v>3</v>
      </c>
      <c r="W12" s="4">
        <v>1</v>
      </c>
      <c r="X12" s="4">
        <v>2</v>
      </c>
      <c r="Y12" s="4">
        <v>2</v>
      </c>
      <c r="Z12" s="4">
        <v>2</v>
      </c>
      <c r="AA12" s="4">
        <v>1</v>
      </c>
      <c r="AB12" s="26">
        <v>6</v>
      </c>
      <c r="AC12" s="67"/>
      <c r="AD12" s="51"/>
    </row>
    <row r="13" spans="1:30" x14ac:dyDescent="0.25">
      <c r="A13" s="46" t="s">
        <v>100</v>
      </c>
      <c r="B13" s="20">
        <v>1</v>
      </c>
      <c r="C13" s="3">
        <v>1</v>
      </c>
      <c r="D13" s="3">
        <v>1</v>
      </c>
      <c r="E13" s="3">
        <v>1</v>
      </c>
      <c r="F13" s="3">
        <v>0</v>
      </c>
      <c r="G13" s="3">
        <v>1</v>
      </c>
      <c r="H13" s="3">
        <v>0</v>
      </c>
      <c r="I13" s="3">
        <v>1</v>
      </c>
      <c r="J13" s="3">
        <v>1</v>
      </c>
      <c r="K13" s="3">
        <v>0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0</v>
      </c>
      <c r="T13" s="3">
        <v>0</v>
      </c>
      <c r="U13" s="3">
        <v>0</v>
      </c>
      <c r="V13" s="4">
        <v>0</v>
      </c>
      <c r="W13" s="4">
        <v>0</v>
      </c>
      <c r="X13" s="4">
        <v>1</v>
      </c>
      <c r="Y13" s="4">
        <v>0</v>
      </c>
      <c r="Z13" s="4">
        <v>2</v>
      </c>
      <c r="AA13" s="4">
        <v>1</v>
      </c>
      <c r="AB13" s="26">
        <v>1</v>
      </c>
      <c r="AC13" s="67"/>
      <c r="AD13" s="51"/>
    </row>
    <row r="14" spans="1:30" x14ac:dyDescent="0.25">
      <c r="A14" s="46" t="s">
        <v>101</v>
      </c>
      <c r="B14" s="20">
        <v>1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2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0</v>
      </c>
      <c r="V14" s="4">
        <v>3</v>
      </c>
      <c r="W14" s="4">
        <v>1</v>
      </c>
      <c r="X14" s="4">
        <v>0</v>
      </c>
      <c r="Y14" s="4">
        <v>0</v>
      </c>
      <c r="Z14" s="4">
        <v>2</v>
      </c>
      <c r="AA14" s="4">
        <v>1</v>
      </c>
      <c r="AB14" s="26">
        <v>6</v>
      </c>
      <c r="AC14" s="67"/>
      <c r="AD14" s="51"/>
    </row>
    <row r="15" spans="1:30" x14ac:dyDescent="0.25">
      <c r="A15" s="46" t="s">
        <v>102</v>
      </c>
      <c r="B15" s="20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2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4">
        <v>3</v>
      </c>
      <c r="W15" s="4">
        <v>0</v>
      </c>
      <c r="X15" s="4">
        <v>2</v>
      </c>
      <c r="Y15" s="4">
        <v>2</v>
      </c>
      <c r="Z15" s="4">
        <v>2</v>
      </c>
      <c r="AA15" s="4">
        <v>1</v>
      </c>
      <c r="AB15" s="26">
        <v>5</v>
      </c>
      <c r="AC15" s="67"/>
      <c r="AD15" s="51"/>
    </row>
    <row r="16" spans="1:30" x14ac:dyDescent="0.25">
      <c r="A16" s="46" t="s">
        <v>103</v>
      </c>
      <c r="B16" s="20">
        <v>0</v>
      </c>
      <c r="C16" s="3">
        <v>1</v>
      </c>
      <c r="D16" s="3">
        <v>1</v>
      </c>
      <c r="E16" s="3">
        <v>1</v>
      </c>
      <c r="F16" s="3">
        <v>0</v>
      </c>
      <c r="G16" s="3">
        <v>1</v>
      </c>
      <c r="H16" s="3">
        <v>2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0</v>
      </c>
      <c r="U16" s="3">
        <v>1</v>
      </c>
      <c r="V16" s="4">
        <v>3</v>
      </c>
      <c r="W16" s="4">
        <v>1</v>
      </c>
      <c r="X16" s="4">
        <v>2</v>
      </c>
      <c r="Y16" s="4">
        <v>2</v>
      </c>
      <c r="Z16" s="4">
        <v>2</v>
      </c>
      <c r="AA16" s="4">
        <v>1</v>
      </c>
      <c r="AB16" s="26">
        <v>5</v>
      </c>
      <c r="AC16" s="67"/>
      <c r="AD16" s="51"/>
    </row>
    <row r="17" spans="1:30" x14ac:dyDescent="0.25">
      <c r="A17" s="46" t="s">
        <v>104</v>
      </c>
      <c r="B17" s="20">
        <v>1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3">
        <v>0</v>
      </c>
      <c r="I17" s="3">
        <v>1</v>
      </c>
      <c r="J17" s="3">
        <v>1</v>
      </c>
      <c r="K17" s="3">
        <v>0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1</v>
      </c>
      <c r="T17" s="3">
        <v>0</v>
      </c>
      <c r="U17" s="3">
        <v>0</v>
      </c>
      <c r="V17" s="4">
        <v>3</v>
      </c>
      <c r="W17" s="4">
        <v>0</v>
      </c>
      <c r="X17" s="4">
        <v>1</v>
      </c>
      <c r="Y17" s="4">
        <v>0</v>
      </c>
      <c r="Z17" s="4">
        <v>1</v>
      </c>
      <c r="AA17" s="4">
        <v>0</v>
      </c>
      <c r="AB17" s="26">
        <v>5</v>
      </c>
      <c r="AC17" s="67"/>
      <c r="AD17" s="51"/>
    </row>
    <row r="18" spans="1:30" x14ac:dyDescent="0.25">
      <c r="A18" s="46" t="s">
        <v>105</v>
      </c>
      <c r="B18" s="20">
        <v>1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0</v>
      </c>
      <c r="L18" s="3">
        <v>1</v>
      </c>
      <c r="M18" s="3">
        <v>1</v>
      </c>
      <c r="N18" s="3">
        <v>1</v>
      </c>
      <c r="O18" s="3">
        <v>0</v>
      </c>
      <c r="P18" s="3">
        <v>1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4">
        <v>3</v>
      </c>
      <c r="W18" s="4">
        <v>1</v>
      </c>
      <c r="X18" s="4">
        <v>0</v>
      </c>
      <c r="Y18" s="4">
        <v>0</v>
      </c>
      <c r="Z18" s="4">
        <v>2</v>
      </c>
      <c r="AA18" s="4">
        <v>1</v>
      </c>
      <c r="AB18" s="26">
        <v>0</v>
      </c>
      <c r="AC18" s="67"/>
      <c r="AD18" s="51"/>
    </row>
    <row r="19" spans="1:30" x14ac:dyDescent="0.25">
      <c r="A19" s="46" t="s">
        <v>106</v>
      </c>
      <c r="B19" s="20">
        <v>1</v>
      </c>
      <c r="C19" s="3">
        <v>1</v>
      </c>
      <c r="D19" s="3">
        <v>1</v>
      </c>
      <c r="E19" s="3">
        <v>1</v>
      </c>
      <c r="F19" s="3">
        <v>0</v>
      </c>
      <c r="G19" s="3">
        <v>1</v>
      </c>
      <c r="H19" s="3">
        <v>2</v>
      </c>
      <c r="I19" s="3">
        <v>0</v>
      </c>
      <c r="J19" s="3">
        <v>1</v>
      </c>
      <c r="K19" s="3">
        <v>0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0</v>
      </c>
      <c r="R19" s="3">
        <v>1</v>
      </c>
      <c r="S19" s="3">
        <v>1</v>
      </c>
      <c r="T19" s="3">
        <v>0</v>
      </c>
      <c r="U19" s="3">
        <v>1</v>
      </c>
      <c r="V19" s="4">
        <v>3</v>
      </c>
      <c r="W19" s="4">
        <v>0</v>
      </c>
      <c r="X19" s="4">
        <v>1</v>
      </c>
      <c r="Y19" s="4">
        <v>0</v>
      </c>
      <c r="Z19" s="4">
        <v>2</v>
      </c>
      <c r="AA19" s="4">
        <v>1</v>
      </c>
      <c r="AB19" s="26">
        <v>5</v>
      </c>
      <c r="AC19" s="67"/>
      <c r="AD19" s="51"/>
    </row>
    <row r="20" spans="1:30" x14ac:dyDescent="0.25">
      <c r="A20" s="46" t="s">
        <v>107</v>
      </c>
      <c r="B20" s="20">
        <v>1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  <c r="H20" s="3">
        <v>2</v>
      </c>
      <c r="I20" s="3">
        <v>1</v>
      </c>
      <c r="J20" s="3">
        <v>1</v>
      </c>
      <c r="K20" s="3">
        <v>0</v>
      </c>
      <c r="L20" s="3">
        <v>0</v>
      </c>
      <c r="M20" s="3">
        <v>1</v>
      </c>
      <c r="N20" s="3">
        <v>0</v>
      </c>
      <c r="O20" s="3">
        <v>1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4">
        <v>1</v>
      </c>
      <c r="W20" s="4">
        <v>0</v>
      </c>
      <c r="X20" s="4">
        <v>1</v>
      </c>
      <c r="Y20" s="4">
        <v>1</v>
      </c>
      <c r="Z20" s="4">
        <v>2</v>
      </c>
      <c r="AA20" s="4">
        <v>0</v>
      </c>
      <c r="AB20" s="26">
        <v>3</v>
      </c>
      <c r="AC20" s="67"/>
      <c r="AD20" s="51"/>
    </row>
    <row r="21" spans="1:30" x14ac:dyDescent="0.25">
      <c r="A21" s="46" t="s">
        <v>108</v>
      </c>
      <c r="B21" s="20">
        <v>1</v>
      </c>
      <c r="C21" s="3">
        <v>1</v>
      </c>
      <c r="D21" s="3">
        <v>1</v>
      </c>
      <c r="E21" s="3">
        <v>1</v>
      </c>
      <c r="F21" s="3">
        <v>0</v>
      </c>
      <c r="G21" s="3">
        <v>1</v>
      </c>
      <c r="H21" s="3">
        <v>2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0</v>
      </c>
      <c r="R21" s="3">
        <v>1</v>
      </c>
      <c r="S21" s="3">
        <v>1</v>
      </c>
      <c r="T21" s="3">
        <v>0</v>
      </c>
      <c r="U21" s="3">
        <v>0</v>
      </c>
      <c r="V21" s="4">
        <v>3</v>
      </c>
      <c r="W21" s="4">
        <v>0</v>
      </c>
      <c r="X21" s="4">
        <v>0</v>
      </c>
      <c r="Y21" s="4">
        <v>0</v>
      </c>
      <c r="Z21" s="4">
        <v>1</v>
      </c>
      <c r="AA21" s="4">
        <v>1</v>
      </c>
      <c r="AB21" s="26">
        <v>4</v>
      </c>
      <c r="AC21" s="67"/>
      <c r="AD21" s="51"/>
    </row>
    <row r="22" spans="1:30" x14ac:dyDescent="0.25">
      <c r="A22" s="46" t="s">
        <v>109</v>
      </c>
      <c r="B22" s="20">
        <v>1</v>
      </c>
      <c r="C22" s="3">
        <v>1</v>
      </c>
      <c r="D22" s="3">
        <v>1</v>
      </c>
      <c r="E22" s="3">
        <v>1</v>
      </c>
      <c r="F22" s="3">
        <v>0</v>
      </c>
      <c r="G22" s="3">
        <v>1</v>
      </c>
      <c r="H22" s="3">
        <v>2</v>
      </c>
      <c r="I22" s="3">
        <v>1</v>
      </c>
      <c r="J22" s="3">
        <v>1</v>
      </c>
      <c r="K22" s="3">
        <v>0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1</v>
      </c>
      <c r="S22" s="3">
        <v>0</v>
      </c>
      <c r="T22" s="3">
        <v>1</v>
      </c>
      <c r="U22" s="3">
        <v>1</v>
      </c>
      <c r="V22" s="4">
        <v>3</v>
      </c>
      <c r="W22" s="4">
        <v>1</v>
      </c>
      <c r="X22" s="4">
        <v>0</v>
      </c>
      <c r="Y22" s="4">
        <v>0</v>
      </c>
      <c r="Z22" s="4">
        <v>2</v>
      </c>
      <c r="AA22" s="4">
        <v>1</v>
      </c>
      <c r="AB22" s="26">
        <v>4</v>
      </c>
      <c r="AC22" s="67"/>
      <c r="AD22" s="51"/>
    </row>
    <row r="23" spans="1:30" x14ac:dyDescent="0.25">
      <c r="A23" s="46" t="s">
        <v>110</v>
      </c>
      <c r="B23" s="20">
        <v>1</v>
      </c>
      <c r="C23" s="3">
        <v>1</v>
      </c>
      <c r="D23" s="3">
        <v>1</v>
      </c>
      <c r="E23" s="3">
        <v>1</v>
      </c>
      <c r="F23" s="3">
        <v>0</v>
      </c>
      <c r="G23" s="3">
        <v>1</v>
      </c>
      <c r="H23" s="3">
        <v>2</v>
      </c>
      <c r="I23" s="3">
        <v>1</v>
      </c>
      <c r="J23" s="3">
        <v>1</v>
      </c>
      <c r="K23" s="3">
        <v>0</v>
      </c>
      <c r="L23" s="3">
        <v>1</v>
      </c>
      <c r="M23" s="3">
        <v>1</v>
      </c>
      <c r="N23" s="3">
        <v>0</v>
      </c>
      <c r="O23" s="3">
        <v>0</v>
      </c>
      <c r="P23" s="3">
        <v>1</v>
      </c>
      <c r="Q23" s="3">
        <v>0</v>
      </c>
      <c r="R23" s="3">
        <v>1</v>
      </c>
      <c r="S23" s="3">
        <v>1</v>
      </c>
      <c r="T23" s="3">
        <v>1</v>
      </c>
      <c r="U23" s="3">
        <v>0</v>
      </c>
      <c r="V23" s="4">
        <v>1</v>
      </c>
      <c r="W23" s="4">
        <v>0</v>
      </c>
      <c r="X23" s="4">
        <v>1</v>
      </c>
      <c r="Y23" s="4">
        <v>1</v>
      </c>
      <c r="Z23" s="4">
        <v>2</v>
      </c>
      <c r="AA23" s="4">
        <v>0</v>
      </c>
      <c r="AB23" s="26">
        <v>5</v>
      </c>
      <c r="AC23" s="67"/>
      <c r="AD23" s="51"/>
    </row>
    <row r="24" spans="1:30" x14ac:dyDescent="0.25">
      <c r="A24" s="46" t="s">
        <v>111</v>
      </c>
      <c r="B24" s="20">
        <v>1</v>
      </c>
      <c r="C24" s="3">
        <v>1</v>
      </c>
      <c r="D24" s="3">
        <v>1</v>
      </c>
      <c r="E24" s="3">
        <v>1</v>
      </c>
      <c r="F24" s="3">
        <v>0</v>
      </c>
      <c r="G24" s="3">
        <v>1</v>
      </c>
      <c r="H24" s="3">
        <v>2</v>
      </c>
      <c r="I24" s="3">
        <v>0</v>
      </c>
      <c r="J24" s="3">
        <v>1</v>
      </c>
      <c r="K24" s="3">
        <v>0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0</v>
      </c>
      <c r="R24" s="3">
        <v>1</v>
      </c>
      <c r="S24" s="3">
        <v>1</v>
      </c>
      <c r="T24" s="3">
        <v>1</v>
      </c>
      <c r="U24" s="3">
        <v>1</v>
      </c>
      <c r="V24" s="4">
        <v>1</v>
      </c>
      <c r="W24" s="4">
        <v>0</v>
      </c>
      <c r="X24" s="4">
        <v>0</v>
      </c>
      <c r="Y24" s="4">
        <v>0</v>
      </c>
      <c r="Z24" s="4">
        <v>2</v>
      </c>
      <c r="AA24" s="4">
        <v>1</v>
      </c>
      <c r="AB24" s="26">
        <v>6</v>
      </c>
      <c r="AC24" s="67"/>
      <c r="AD24" s="51"/>
    </row>
    <row r="25" spans="1:30" x14ac:dyDescent="0.25">
      <c r="A25" s="46" t="s">
        <v>112</v>
      </c>
      <c r="B25" s="20">
        <v>1</v>
      </c>
      <c r="C25" s="3">
        <v>0</v>
      </c>
      <c r="D25" s="3">
        <v>1</v>
      </c>
      <c r="E25" s="3">
        <v>0</v>
      </c>
      <c r="F25" s="3">
        <v>0</v>
      </c>
      <c r="G25" s="3">
        <v>1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4">
        <v>1</v>
      </c>
      <c r="W25" s="4">
        <v>0</v>
      </c>
      <c r="X25" s="4">
        <v>0</v>
      </c>
      <c r="Y25" s="4">
        <v>0</v>
      </c>
      <c r="Z25" s="4">
        <v>2</v>
      </c>
      <c r="AA25" s="4">
        <v>1</v>
      </c>
      <c r="AB25" s="26">
        <v>3</v>
      </c>
      <c r="AC25" s="67"/>
      <c r="AD25" s="51"/>
    </row>
    <row r="26" spans="1:30" x14ac:dyDescent="0.25">
      <c r="A26" s="46" t="s">
        <v>113</v>
      </c>
      <c r="B26" s="20">
        <v>1</v>
      </c>
      <c r="C26" s="3">
        <v>0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1</v>
      </c>
      <c r="K26" s="3">
        <v>0</v>
      </c>
      <c r="L26" s="3">
        <v>1</v>
      </c>
      <c r="M26" s="3">
        <v>1</v>
      </c>
      <c r="N26" s="3">
        <v>0</v>
      </c>
      <c r="O26" s="3">
        <v>1</v>
      </c>
      <c r="P26" s="3">
        <v>1</v>
      </c>
      <c r="Q26" s="3">
        <v>0</v>
      </c>
      <c r="R26" s="3">
        <v>1</v>
      </c>
      <c r="S26" s="3">
        <v>0</v>
      </c>
      <c r="T26" s="3">
        <v>0</v>
      </c>
      <c r="U26" s="3">
        <v>0</v>
      </c>
      <c r="V26" s="4">
        <v>3</v>
      </c>
      <c r="W26" s="4">
        <v>1</v>
      </c>
      <c r="X26" s="4">
        <v>2</v>
      </c>
      <c r="Y26" s="4">
        <v>1</v>
      </c>
      <c r="Z26" s="4">
        <v>2</v>
      </c>
      <c r="AA26" s="4">
        <v>1</v>
      </c>
      <c r="AB26" s="26">
        <v>4</v>
      </c>
      <c r="AC26" s="67"/>
      <c r="AD26" s="51"/>
    </row>
    <row r="27" spans="1:30" x14ac:dyDescent="0.25">
      <c r="A27" s="46" t="s">
        <v>114</v>
      </c>
      <c r="B27" s="20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2</v>
      </c>
      <c r="I27" s="3">
        <v>0</v>
      </c>
      <c r="J27" s="3">
        <v>1</v>
      </c>
      <c r="K27" s="3">
        <v>0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4">
        <v>3</v>
      </c>
      <c r="W27" s="4">
        <v>0</v>
      </c>
      <c r="X27" s="4">
        <v>2</v>
      </c>
      <c r="Y27" s="4">
        <v>1</v>
      </c>
      <c r="Z27" s="4">
        <v>2</v>
      </c>
      <c r="AA27" s="4">
        <v>1</v>
      </c>
      <c r="AB27" s="26">
        <v>6</v>
      </c>
      <c r="AC27" s="67"/>
      <c r="AD27" s="51"/>
    </row>
    <row r="28" spans="1:30" x14ac:dyDescent="0.25">
      <c r="A28" s="46" t="s">
        <v>115</v>
      </c>
      <c r="B28" s="20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2</v>
      </c>
      <c r="I28" s="3">
        <v>0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0</v>
      </c>
      <c r="P28" s="3">
        <v>1</v>
      </c>
      <c r="Q28" s="3">
        <v>0</v>
      </c>
      <c r="R28" s="3">
        <v>0</v>
      </c>
      <c r="S28" s="3">
        <v>1</v>
      </c>
      <c r="T28" s="3">
        <v>1</v>
      </c>
      <c r="U28" s="3">
        <v>1</v>
      </c>
      <c r="V28" s="4">
        <v>1</v>
      </c>
      <c r="W28" s="4">
        <v>0</v>
      </c>
      <c r="X28" s="4">
        <v>0</v>
      </c>
      <c r="Y28" s="4">
        <v>0</v>
      </c>
      <c r="Z28" s="4">
        <v>2</v>
      </c>
      <c r="AA28" s="4">
        <v>1</v>
      </c>
      <c r="AB28" s="26">
        <v>7</v>
      </c>
      <c r="AC28" s="67"/>
      <c r="AD28" s="51"/>
    </row>
    <row r="29" spans="1:30" x14ac:dyDescent="0.25">
      <c r="A29" s="46" t="s">
        <v>116</v>
      </c>
      <c r="B29" s="20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2</v>
      </c>
      <c r="I29" s="3">
        <v>0</v>
      </c>
      <c r="J29" s="3">
        <v>1</v>
      </c>
      <c r="K29" s="3">
        <v>0</v>
      </c>
      <c r="L29" s="3">
        <v>1</v>
      </c>
      <c r="M29" s="3">
        <v>1</v>
      </c>
      <c r="N29" s="3">
        <v>0</v>
      </c>
      <c r="O29" s="3">
        <v>1</v>
      </c>
      <c r="P29" s="3">
        <v>1</v>
      </c>
      <c r="Q29" s="3">
        <v>0</v>
      </c>
      <c r="R29" s="3">
        <v>1</v>
      </c>
      <c r="S29" s="3">
        <v>1</v>
      </c>
      <c r="T29" s="3">
        <v>0</v>
      </c>
      <c r="U29" s="3">
        <v>0</v>
      </c>
      <c r="V29" s="4">
        <v>0</v>
      </c>
      <c r="W29" s="4">
        <v>0</v>
      </c>
      <c r="X29" s="4">
        <v>0</v>
      </c>
      <c r="Y29" s="4">
        <v>0</v>
      </c>
      <c r="Z29" s="4">
        <v>2</v>
      </c>
      <c r="AA29" s="4">
        <v>0</v>
      </c>
      <c r="AB29" s="26">
        <v>3</v>
      </c>
      <c r="AC29" s="67"/>
      <c r="AD29" s="51"/>
    </row>
    <row r="30" spans="1:30" ht="15.75" thickBot="1" x14ac:dyDescent="0.3">
      <c r="A30" s="47" t="s">
        <v>117</v>
      </c>
      <c r="B30" s="99">
        <v>1</v>
      </c>
      <c r="C30" s="29">
        <v>1</v>
      </c>
      <c r="D30" s="29">
        <v>1</v>
      </c>
      <c r="E30" s="29">
        <v>1</v>
      </c>
      <c r="F30" s="29">
        <v>1</v>
      </c>
      <c r="G30" s="29">
        <v>1</v>
      </c>
      <c r="H30" s="29">
        <v>2</v>
      </c>
      <c r="I30" s="29">
        <v>1</v>
      </c>
      <c r="J30" s="29">
        <v>1</v>
      </c>
      <c r="K30" s="29">
        <v>0</v>
      </c>
      <c r="L30" s="29">
        <v>1</v>
      </c>
      <c r="M30" s="29">
        <v>1</v>
      </c>
      <c r="N30" s="29">
        <v>1</v>
      </c>
      <c r="O30" s="29">
        <v>1</v>
      </c>
      <c r="P30" s="29">
        <v>1</v>
      </c>
      <c r="Q30" s="29">
        <v>0</v>
      </c>
      <c r="R30" s="29">
        <v>1</v>
      </c>
      <c r="S30" s="29">
        <v>1</v>
      </c>
      <c r="T30" s="29">
        <v>1</v>
      </c>
      <c r="U30" s="29">
        <v>0</v>
      </c>
      <c r="V30" s="30">
        <v>3</v>
      </c>
      <c r="W30" s="30">
        <v>0</v>
      </c>
      <c r="X30" s="30">
        <v>1</v>
      </c>
      <c r="Y30" s="30">
        <v>0</v>
      </c>
      <c r="Z30" s="30">
        <v>2</v>
      </c>
      <c r="AA30" s="30">
        <v>1</v>
      </c>
      <c r="AB30" s="31">
        <v>7</v>
      </c>
      <c r="AC30" s="100"/>
      <c r="AD30" s="58"/>
    </row>
    <row r="31" spans="1:30" x14ac:dyDescent="0.25">
      <c r="A31" s="98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8"/>
      <c r="W31" s="38"/>
      <c r="X31" s="38"/>
      <c r="Y31" s="38"/>
      <c r="Z31" s="38"/>
      <c r="AA31" s="38"/>
      <c r="AB31" s="38"/>
      <c r="AC31" s="60"/>
      <c r="AD31" s="60"/>
    </row>
    <row r="32" spans="1:30" x14ac:dyDescent="0.25">
      <c r="A32" s="98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8"/>
      <c r="W32" s="38"/>
      <c r="X32" s="38"/>
      <c r="Y32" s="38"/>
      <c r="Z32" s="38"/>
      <c r="AA32" s="38"/>
      <c r="AB32" s="38"/>
      <c r="AC32" s="59"/>
      <c r="AD32" s="59"/>
    </row>
    <row r="33" spans="1:28" x14ac:dyDescent="0.25">
      <c r="A33" s="35"/>
      <c r="B33" s="36"/>
    </row>
    <row r="34" spans="1:28" x14ac:dyDescent="0.25">
      <c r="A34" s="35"/>
      <c r="B34" s="36"/>
    </row>
    <row r="35" spans="1:28" x14ac:dyDescent="0.25">
      <c r="A35" s="49" t="s">
        <v>162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x14ac:dyDescent="0.25">
      <c r="A36" s="49" t="s">
        <v>163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ht="30" x14ac:dyDescent="0.25">
      <c r="A37" s="50" t="s">
        <v>164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ht="30" x14ac:dyDescent="0.25">
      <c r="A38" s="50" t="s">
        <v>165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44" spans="1:28" ht="15.75" thickBot="1" x14ac:dyDescent="0.3"/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/>
      <c r="C47" s="73"/>
      <c r="D47" s="73"/>
      <c r="E47" s="73"/>
      <c r="F47" s="74"/>
      <c r="G47" s="72"/>
      <c r="H47" s="73"/>
      <c r="I47" s="73"/>
      <c r="J47" s="73"/>
      <c r="K47" s="74"/>
      <c r="L47" s="72"/>
      <c r="M47" s="73"/>
      <c r="N47" s="73"/>
      <c r="O47" s="73"/>
      <c r="P47" s="74"/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/>
    </row>
    <row r="53" spans="2:6" x14ac:dyDescent="0.25">
      <c r="B53" s="89" t="s">
        <v>173</v>
      </c>
      <c r="C53" s="87"/>
      <c r="D53" s="87"/>
      <c r="E53" s="87"/>
      <c r="F53" s="90"/>
    </row>
    <row r="54" spans="2:6" x14ac:dyDescent="0.25">
      <c r="B54" s="89" t="s">
        <v>174</v>
      </c>
      <c r="C54" s="87"/>
      <c r="D54" s="87"/>
      <c r="E54" s="87"/>
      <c r="F54" s="90"/>
    </row>
    <row r="55" spans="2:6" x14ac:dyDescent="0.25">
      <c r="B55" s="89" t="s">
        <v>175</v>
      </c>
      <c r="C55" s="87"/>
      <c r="D55" s="87"/>
      <c r="E55" s="87"/>
      <c r="F55" s="90"/>
    </row>
    <row r="56" spans="2:6" x14ac:dyDescent="0.25">
      <c r="B56" s="89" t="s">
        <v>176</v>
      </c>
      <c r="C56" s="87"/>
      <c r="D56" s="87"/>
      <c r="E56" s="87"/>
      <c r="F56" s="90"/>
    </row>
    <row r="57" spans="2:6" x14ac:dyDescent="0.25">
      <c r="B57" s="89" t="s">
        <v>177</v>
      </c>
      <c r="C57" s="87"/>
      <c r="D57" s="87"/>
      <c r="E57" s="87"/>
      <c r="F57" s="90"/>
    </row>
    <row r="58" spans="2:6" x14ac:dyDescent="0.25">
      <c r="B58" s="89" t="s">
        <v>178</v>
      </c>
      <c r="C58" s="87"/>
      <c r="D58" s="87"/>
      <c r="E58" s="87"/>
      <c r="F58" s="90"/>
    </row>
    <row r="59" spans="2:6" x14ac:dyDescent="0.25">
      <c r="B59" s="89" t="s">
        <v>179</v>
      </c>
      <c r="C59" s="87"/>
      <c r="D59" s="87"/>
      <c r="E59" s="87"/>
      <c r="F59" s="90"/>
    </row>
    <row r="60" spans="2:6" ht="15.75" thickBot="1" x14ac:dyDescent="0.3">
      <c r="B60" s="88" t="s">
        <v>180</v>
      </c>
      <c r="C60" s="84"/>
      <c r="D60" s="84"/>
      <c r="E60" s="84"/>
      <c r="F60" s="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A99D-93B9-4F99-A4BB-ED88A4DF0C4A}">
  <dimension ref="A1:AD60"/>
  <sheetViews>
    <sheetView zoomScale="70" zoomScaleNormal="70" workbookViewId="0">
      <selection activeCell="J38" sqref="J38"/>
    </sheetView>
  </sheetViews>
  <sheetFormatPr defaultRowHeight="15" x14ac:dyDescent="0.25"/>
  <cols>
    <col min="1" max="1" width="20.7109375" customWidth="1"/>
  </cols>
  <sheetData>
    <row r="1" spans="1:30" ht="30.75" thickBot="1" x14ac:dyDescent="0.3">
      <c r="A1" s="6" t="s">
        <v>118</v>
      </c>
      <c r="B1" s="64" t="s">
        <v>169</v>
      </c>
      <c r="C1" s="63">
        <v>19</v>
      </c>
    </row>
    <row r="3" spans="1:30" ht="15.75" thickBot="1" x14ac:dyDescent="0.3"/>
    <row r="4" spans="1:30" x14ac:dyDescent="0.25">
      <c r="A4" s="45" t="s">
        <v>0</v>
      </c>
      <c r="B4" s="32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  <c r="N4" s="10">
        <v>13</v>
      </c>
      <c r="O4" s="10">
        <v>14</v>
      </c>
      <c r="P4" s="10">
        <v>15</v>
      </c>
      <c r="Q4" s="10">
        <v>16</v>
      </c>
      <c r="R4" s="10">
        <v>17</v>
      </c>
      <c r="S4" s="10">
        <v>18</v>
      </c>
      <c r="T4" s="10">
        <v>19</v>
      </c>
      <c r="U4" s="10">
        <v>20</v>
      </c>
      <c r="V4" s="40" t="s">
        <v>1</v>
      </c>
      <c r="W4" s="40" t="s">
        <v>2</v>
      </c>
      <c r="X4" s="40" t="s">
        <v>3</v>
      </c>
      <c r="Y4" s="41" t="s">
        <v>4</v>
      </c>
      <c r="Z4" s="40">
        <v>23</v>
      </c>
      <c r="AA4" s="40">
        <v>24</v>
      </c>
      <c r="AB4" s="42">
        <v>25</v>
      </c>
    </row>
    <row r="5" spans="1:30" x14ac:dyDescent="0.25">
      <c r="A5" s="46" t="s">
        <v>5</v>
      </c>
      <c r="B5" s="33" t="s">
        <v>6</v>
      </c>
      <c r="C5" s="1" t="s">
        <v>6</v>
      </c>
      <c r="D5" s="1" t="s">
        <v>6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9</v>
      </c>
      <c r="J5" s="1" t="s">
        <v>9</v>
      </c>
      <c r="K5" s="1" t="s">
        <v>7</v>
      </c>
      <c r="L5" s="1" t="s">
        <v>7</v>
      </c>
      <c r="M5" s="1" t="s">
        <v>9</v>
      </c>
      <c r="N5" s="1" t="s">
        <v>9</v>
      </c>
      <c r="O5" s="1" t="s">
        <v>6</v>
      </c>
      <c r="P5" s="1" t="s">
        <v>6</v>
      </c>
      <c r="Q5" s="1" t="s">
        <v>6</v>
      </c>
      <c r="R5" s="1" t="s">
        <v>8</v>
      </c>
      <c r="S5" s="1" t="s">
        <v>7</v>
      </c>
      <c r="T5" s="1" t="s">
        <v>9</v>
      </c>
      <c r="U5" s="1" t="s">
        <v>9</v>
      </c>
      <c r="V5" s="2" t="s">
        <v>7</v>
      </c>
      <c r="W5" s="2" t="s">
        <v>9</v>
      </c>
      <c r="X5" s="2" t="s">
        <v>7</v>
      </c>
      <c r="Y5" s="2" t="s">
        <v>9</v>
      </c>
      <c r="Z5" s="2" t="s">
        <v>6</v>
      </c>
      <c r="AA5" s="2" t="s">
        <v>6</v>
      </c>
      <c r="AB5" s="11" t="s">
        <v>10</v>
      </c>
    </row>
    <row r="6" spans="1:30" ht="15.75" thickBot="1" x14ac:dyDescent="0.3">
      <c r="A6" s="48" t="s">
        <v>120</v>
      </c>
      <c r="B6" s="34">
        <v>1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2">
        <v>2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3">
        <v>3</v>
      </c>
      <c r="W6" s="13">
        <v>1</v>
      </c>
      <c r="X6" s="13">
        <v>2</v>
      </c>
      <c r="Y6" s="13">
        <v>2</v>
      </c>
      <c r="Z6" s="13">
        <v>2</v>
      </c>
      <c r="AA6" s="13">
        <v>1</v>
      </c>
      <c r="AB6" s="14">
        <v>8</v>
      </c>
      <c r="AC6" s="56" t="s">
        <v>162</v>
      </c>
      <c r="AD6" s="56" t="s">
        <v>163</v>
      </c>
    </row>
    <row r="7" spans="1:30" x14ac:dyDescent="0.25">
      <c r="A7" s="45" t="s">
        <v>143</v>
      </c>
      <c r="B7" s="92">
        <v>1</v>
      </c>
      <c r="C7" s="93">
        <v>1</v>
      </c>
      <c r="D7" s="93">
        <v>1</v>
      </c>
      <c r="E7" s="93">
        <v>1</v>
      </c>
      <c r="F7" s="93">
        <v>0</v>
      </c>
      <c r="G7" s="93">
        <v>1</v>
      </c>
      <c r="H7" s="93">
        <v>0</v>
      </c>
      <c r="I7" s="93">
        <v>0</v>
      </c>
      <c r="J7" s="93">
        <v>1</v>
      </c>
      <c r="K7" s="93">
        <v>1</v>
      </c>
      <c r="L7" s="93">
        <v>0</v>
      </c>
      <c r="M7" s="93">
        <v>1</v>
      </c>
      <c r="N7" s="93">
        <v>1</v>
      </c>
      <c r="O7" s="93">
        <v>1</v>
      </c>
      <c r="P7" s="93">
        <v>1</v>
      </c>
      <c r="Q7" s="93">
        <v>0</v>
      </c>
      <c r="R7" s="93">
        <v>1</v>
      </c>
      <c r="S7" s="93">
        <v>0</v>
      </c>
      <c r="T7" s="93">
        <v>0</v>
      </c>
      <c r="U7" s="93">
        <v>0</v>
      </c>
      <c r="V7" s="94">
        <v>0</v>
      </c>
      <c r="W7" s="94">
        <v>0</v>
      </c>
      <c r="X7" s="94">
        <v>0</v>
      </c>
      <c r="Y7" s="94">
        <v>0</v>
      </c>
      <c r="Z7" s="94">
        <v>0</v>
      </c>
      <c r="AA7" s="94">
        <v>1</v>
      </c>
      <c r="AB7" s="94">
        <v>0</v>
      </c>
      <c r="AC7" s="51"/>
      <c r="AD7" s="51"/>
    </row>
    <row r="8" spans="1:30" x14ac:dyDescent="0.25">
      <c r="A8" s="46" t="s">
        <v>144</v>
      </c>
      <c r="B8" s="95">
        <v>1</v>
      </c>
      <c r="C8" s="96">
        <v>1</v>
      </c>
      <c r="D8" s="96">
        <v>1</v>
      </c>
      <c r="E8" s="96">
        <v>1</v>
      </c>
      <c r="F8" s="96">
        <v>0</v>
      </c>
      <c r="G8" s="96">
        <v>1</v>
      </c>
      <c r="H8" s="96">
        <v>0</v>
      </c>
      <c r="I8" s="96">
        <v>1</v>
      </c>
      <c r="J8" s="96">
        <v>1</v>
      </c>
      <c r="K8" s="96">
        <v>0</v>
      </c>
      <c r="L8" s="96">
        <v>1</v>
      </c>
      <c r="M8" s="96">
        <v>1</v>
      </c>
      <c r="N8" s="96">
        <v>1</v>
      </c>
      <c r="O8" s="96">
        <v>1</v>
      </c>
      <c r="P8" s="96">
        <v>1</v>
      </c>
      <c r="Q8" s="96">
        <v>0</v>
      </c>
      <c r="R8" s="96">
        <v>0</v>
      </c>
      <c r="S8" s="96">
        <v>0</v>
      </c>
      <c r="T8" s="96">
        <v>0</v>
      </c>
      <c r="U8" s="96">
        <v>0</v>
      </c>
      <c r="V8" s="97">
        <v>0</v>
      </c>
      <c r="W8" s="97">
        <v>0</v>
      </c>
      <c r="X8" s="97">
        <v>0</v>
      </c>
      <c r="Y8" s="97">
        <v>0</v>
      </c>
      <c r="Z8" s="97">
        <v>2</v>
      </c>
      <c r="AA8" s="97">
        <v>1</v>
      </c>
      <c r="AB8" s="97">
        <v>0</v>
      </c>
      <c r="AC8" s="51"/>
      <c r="AD8" s="51"/>
    </row>
    <row r="9" spans="1:30" x14ac:dyDescent="0.25">
      <c r="A9" s="46" t="s">
        <v>145</v>
      </c>
      <c r="B9" s="95">
        <v>1</v>
      </c>
      <c r="C9" s="96">
        <v>0</v>
      </c>
      <c r="D9" s="96">
        <v>1</v>
      </c>
      <c r="E9" s="96">
        <v>1</v>
      </c>
      <c r="F9" s="96">
        <v>0</v>
      </c>
      <c r="G9" s="96">
        <v>0</v>
      </c>
      <c r="H9" s="96">
        <v>0</v>
      </c>
      <c r="I9" s="96">
        <v>0</v>
      </c>
      <c r="J9" s="96">
        <v>1</v>
      </c>
      <c r="K9" s="96">
        <v>1</v>
      </c>
      <c r="L9" s="96">
        <v>1</v>
      </c>
      <c r="M9" s="96">
        <v>1</v>
      </c>
      <c r="N9" s="96">
        <v>1</v>
      </c>
      <c r="O9" s="96">
        <v>1</v>
      </c>
      <c r="P9" s="96">
        <v>1</v>
      </c>
      <c r="Q9" s="96">
        <v>1</v>
      </c>
      <c r="R9" s="96">
        <v>0</v>
      </c>
      <c r="S9" s="96">
        <v>0</v>
      </c>
      <c r="T9" s="96">
        <v>0</v>
      </c>
      <c r="U9" s="96">
        <v>0</v>
      </c>
      <c r="V9" s="97">
        <v>1</v>
      </c>
      <c r="W9" s="97">
        <v>0</v>
      </c>
      <c r="X9" s="97">
        <v>0</v>
      </c>
      <c r="Y9" s="97">
        <v>0</v>
      </c>
      <c r="Z9" s="97">
        <v>0</v>
      </c>
      <c r="AA9" s="97">
        <v>0</v>
      </c>
      <c r="AB9" s="97">
        <v>0</v>
      </c>
      <c r="AC9" s="51"/>
      <c r="AD9" s="51"/>
    </row>
    <row r="10" spans="1:30" x14ac:dyDescent="0.25">
      <c r="A10" s="46" t="s">
        <v>146</v>
      </c>
      <c r="B10" s="95">
        <v>1</v>
      </c>
      <c r="C10" s="96">
        <v>1</v>
      </c>
      <c r="D10" s="96">
        <v>1</v>
      </c>
      <c r="E10" s="96">
        <v>0</v>
      </c>
      <c r="F10" s="96">
        <v>0</v>
      </c>
      <c r="G10" s="96">
        <v>1</v>
      </c>
      <c r="H10" s="96">
        <v>2</v>
      </c>
      <c r="I10" s="96">
        <v>1</v>
      </c>
      <c r="J10" s="96">
        <v>1</v>
      </c>
      <c r="K10" s="96">
        <v>0</v>
      </c>
      <c r="L10" s="96">
        <v>1</v>
      </c>
      <c r="M10" s="96">
        <v>1</v>
      </c>
      <c r="N10" s="96">
        <v>0</v>
      </c>
      <c r="O10" s="96">
        <v>1</v>
      </c>
      <c r="P10" s="96">
        <v>1</v>
      </c>
      <c r="Q10" s="96">
        <v>0</v>
      </c>
      <c r="R10" s="96">
        <v>1</v>
      </c>
      <c r="S10" s="96">
        <v>1</v>
      </c>
      <c r="T10" s="96">
        <v>0</v>
      </c>
      <c r="U10" s="96">
        <v>1</v>
      </c>
      <c r="V10" s="97">
        <v>1</v>
      </c>
      <c r="W10" s="97">
        <v>0</v>
      </c>
      <c r="X10" s="97">
        <v>0</v>
      </c>
      <c r="Y10" s="97">
        <v>0</v>
      </c>
      <c r="Z10" s="97">
        <v>1</v>
      </c>
      <c r="AA10" s="97">
        <v>1</v>
      </c>
      <c r="AB10" s="97">
        <v>0</v>
      </c>
      <c r="AC10" s="51"/>
      <c r="AD10" s="51"/>
    </row>
    <row r="11" spans="1:30" x14ac:dyDescent="0.25">
      <c r="A11" s="46" t="s">
        <v>147</v>
      </c>
      <c r="B11" s="95">
        <v>1</v>
      </c>
      <c r="C11" s="96">
        <v>1</v>
      </c>
      <c r="D11" s="96">
        <v>1</v>
      </c>
      <c r="E11" s="96">
        <v>1</v>
      </c>
      <c r="F11" s="96">
        <v>0</v>
      </c>
      <c r="G11" s="96">
        <v>1</v>
      </c>
      <c r="H11" s="96">
        <v>2</v>
      </c>
      <c r="I11" s="96">
        <v>0</v>
      </c>
      <c r="J11" s="96">
        <v>1</v>
      </c>
      <c r="K11" s="96">
        <v>1</v>
      </c>
      <c r="L11" s="96">
        <v>1</v>
      </c>
      <c r="M11" s="96">
        <v>1</v>
      </c>
      <c r="N11" s="96">
        <v>1</v>
      </c>
      <c r="O11" s="96">
        <v>1</v>
      </c>
      <c r="P11" s="96">
        <v>1</v>
      </c>
      <c r="Q11" s="96">
        <v>1</v>
      </c>
      <c r="R11" s="96">
        <v>0</v>
      </c>
      <c r="S11" s="96">
        <v>0</v>
      </c>
      <c r="T11" s="96">
        <v>0</v>
      </c>
      <c r="U11" s="96">
        <v>0</v>
      </c>
      <c r="V11" s="97">
        <v>2</v>
      </c>
      <c r="W11" s="97">
        <v>0</v>
      </c>
      <c r="X11" s="97">
        <v>0</v>
      </c>
      <c r="Y11" s="97">
        <v>0</v>
      </c>
      <c r="Z11" s="97">
        <v>2</v>
      </c>
      <c r="AA11" s="97">
        <v>1</v>
      </c>
      <c r="AB11" s="97">
        <v>1</v>
      </c>
      <c r="AC11" s="51"/>
      <c r="AD11" s="51"/>
    </row>
    <row r="12" spans="1:30" x14ac:dyDescent="0.25">
      <c r="A12" s="46" t="s">
        <v>148</v>
      </c>
      <c r="B12" s="95">
        <v>1</v>
      </c>
      <c r="C12" s="96">
        <v>1</v>
      </c>
      <c r="D12" s="96">
        <v>1</v>
      </c>
      <c r="E12" s="96">
        <v>1</v>
      </c>
      <c r="F12" s="96">
        <v>0</v>
      </c>
      <c r="G12" s="96">
        <v>0</v>
      </c>
      <c r="H12" s="96">
        <v>0</v>
      </c>
      <c r="I12" s="96">
        <v>0</v>
      </c>
      <c r="J12" s="96">
        <v>1</v>
      </c>
      <c r="K12" s="96">
        <v>0</v>
      </c>
      <c r="L12" s="96">
        <v>1</v>
      </c>
      <c r="M12" s="96">
        <v>1</v>
      </c>
      <c r="N12" s="96">
        <v>1</v>
      </c>
      <c r="O12" s="96">
        <v>1</v>
      </c>
      <c r="P12" s="96">
        <v>1</v>
      </c>
      <c r="Q12" s="96">
        <v>0</v>
      </c>
      <c r="R12" s="96">
        <v>0</v>
      </c>
      <c r="S12" s="96">
        <v>1</v>
      </c>
      <c r="T12" s="96">
        <v>0</v>
      </c>
      <c r="U12" s="96">
        <v>0</v>
      </c>
      <c r="V12" s="97">
        <v>3</v>
      </c>
      <c r="W12" s="97">
        <v>1</v>
      </c>
      <c r="X12" s="97">
        <v>0</v>
      </c>
      <c r="Y12" s="97">
        <v>0</v>
      </c>
      <c r="Z12" s="97">
        <v>1</v>
      </c>
      <c r="AA12" s="97">
        <v>1</v>
      </c>
      <c r="AB12" s="97">
        <v>0</v>
      </c>
      <c r="AC12" s="51"/>
      <c r="AD12" s="51"/>
    </row>
    <row r="13" spans="1:30" x14ac:dyDescent="0.25">
      <c r="A13" s="46" t="s">
        <v>149</v>
      </c>
      <c r="B13" s="95">
        <v>1</v>
      </c>
      <c r="C13" s="96">
        <v>1</v>
      </c>
      <c r="D13" s="96">
        <v>1</v>
      </c>
      <c r="E13" s="96">
        <v>1</v>
      </c>
      <c r="F13" s="96">
        <v>0</v>
      </c>
      <c r="G13" s="96">
        <v>0</v>
      </c>
      <c r="H13" s="96">
        <v>0</v>
      </c>
      <c r="I13" s="96">
        <v>0</v>
      </c>
      <c r="J13" s="96">
        <v>1</v>
      </c>
      <c r="K13" s="96">
        <v>1</v>
      </c>
      <c r="L13" s="96">
        <v>1</v>
      </c>
      <c r="M13" s="96">
        <v>1</v>
      </c>
      <c r="N13" s="96">
        <v>1</v>
      </c>
      <c r="O13" s="96">
        <v>1</v>
      </c>
      <c r="P13" s="96">
        <v>1</v>
      </c>
      <c r="Q13" s="96">
        <v>1</v>
      </c>
      <c r="R13" s="96">
        <v>0</v>
      </c>
      <c r="S13" s="96">
        <v>0</v>
      </c>
      <c r="T13" s="96">
        <v>0</v>
      </c>
      <c r="U13" s="96">
        <v>0</v>
      </c>
      <c r="V13" s="97">
        <v>0</v>
      </c>
      <c r="W13" s="97">
        <v>0</v>
      </c>
      <c r="X13" s="97">
        <v>0</v>
      </c>
      <c r="Y13" s="97">
        <v>0</v>
      </c>
      <c r="Z13" s="97">
        <v>2</v>
      </c>
      <c r="AA13" s="97">
        <v>1</v>
      </c>
      <c r="AB13" s="97">
        <v>0</v>
      </c>
      <c r="AC13" s="51"/>
      <c r="AD13" s="51"/>
    </row>
    <row r="14" spans="1:30" x14ac:dyDescent="0.25">
      <c r="A14" s="46" t="s">
        <v>150</v>
      </c>
      <c r="B14" s="95">
        <v>1</v>
      </c>
      <c r="C14" s="96">
        <v>1</v>
      </c>
      <c r="D14" s="96">
        <v>1</v>
      </c>
      <c r="E14" s="96">
        <v>1</v>
      </c>
      <c r="F14" s="96">
        <v>0</v>
      </c>
      <c r="G14" s="96">
        <v>1</v>
      </c>
      <c r="H14" s="96">
        <v>2</v>
      </c>
      <c r="I14" s="96">
        <v>0</v>
      </c>
      <c r="J14" s="96">
        <v>1</v>
      </c>
      <c r="K14" s="96">
        <v>0</v>
      </c>
      <c r="L14" s="96">
        <v>1</v>
      </c>
      <c r="M14" s="96">
        <v>1</v>
      </c>
      <c r="N14" s="96">
        <v>1</v>
      </c>
      <c r="O14" s="96">
        <v>1</v>
      </c>
      <c r="P14" s="96">
        <v>1</v>
      </c>
      <c r="Q14" s="96">
        <v>0</v>
      </c>
      <c r="R14" s="96">
        <v>1</v>
      </c>
      <c r="S14" s="96">
        <v>1</v>
      </c>
      <c r="T14" s="96">
        <v>1</v>
      </c>
      <c r="U14" s="96">
        <v>0</v>
      </c>
      <c r="V14" s="97">
        <v>2</v>
      </c>
      <c r="W14" s="97">
        <v>0</v>
      </c>
      <c r="X14" s="97">
        <v>0</v>
      </c>
      <c r="Y14" s="97">
        <v>0</v>
      </c>
      <c r="Z14" s="97">
        <v>1</v>
      </c>
      <c r="AA14" s="97">
        <v>1</v>
      </c>
      <c r="AB14" s="97">
        <v>6</v>
      </c>
      <c r="AC14" s="51"/>
      <c r="AD14" s="51"/>
    </row>
    <row r="15" spans="1:30" x14ac:dyDescent="0.25">
      <c r="A15" s="46" t="s">
        <v>151</v>
      </c>
      <c r="B15" s="95">
        <v>1</v>
      </c>
      <c r="C15" s="96">
        <v>1</v>
      </c>
      <c r="D15" s="96">
        <v>0</v>
      </c>
      <c r="E15" s="96">
        <v>0</v>
      </c>
      <c r="F15" s="96">
        <v>1</v>
      </c>
      <c r="G15" s="96">
        <v>1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1</v>
      </c>
      <c r="N15" s="96">
        <v>1</v>
      </c>
      <c r="O15" s="96">
        <v>0</v>
      </c>
      <c r="P15" s="96">
        <v>1</v>
      </c>
      <c r="Q15" s="96">
        <v>1</v>
      </c>
      <c r="R15" s="96">
        <v>1</v>
      </c>
      <c r="S15" s="96">
        <v>0</v>
      </c>
      <c r="T15" s="96">
        <v>0</v>
      </c>
      <c r="U15" s="96">
        <v>0</v>
      </c>
      <c r="V15" s="97">
        <v>0</v>
      </c>
      <c r="W15" s="97">
        <v>0</v>
      </c>
      <c r="X15" s="97">
        <v>0</v>
      </c>
      <c r="Y15" s="97">
        <v>0</v>
      </c>
      <c r="Z15" s="97">
        <v>0</v>
      </c>
      <c r="AA15" s="97">
        <v>0</v>
      </c>
      <c r="AB15" s="97">
        <v>0</v>
      </c>
      <c r="AC15" s="51"/>
      <c r="AD15" s="51"/>
    </row>
    <row r="16" spans="1:30" x14ac:dyDescent="0.25">
      <c r="A16" s="46" t="s">
        <v>152</v>
      </c>
      <c r="B16" s="95">
        <v>1</v>
      </c>
      <c r="C16" s="96">
        <v>0</v>
      </c>
      <c r="D16" s="96">
        <v>1</v>
      </c>
      <c r="E16" s="96">
        <v>1</v>
      </c>
      <c r="F16" s="96">
        <v>1</v>
      </c>
      <c r="G16" s="96">
        <v>1</v>
      </c>
      <c r="H16" s="96">
        <v>0</v>
      </c>
      <c r="I16" s="96">
        <v>1</v>
      </c>
      <c r="J16" s="96">
        <v>1</v>
      </c>
      <c r="K16" s="96">
        <v>1</v>
      </c>
      <c r="L16" s="96">
        <v>1</v>
      </c>
      <c r="M16" s="96">
        <v>1</v>
      </c>
      <c r="N16" s="96">
        <v>1</v>
      </c>
      <c r="O16" s="96">
        <v>0</v>
      </c>
      <c r="P16" s="96">
        <v>1</v>
      </c>
      <c r="Q16" s="96">
        <v>0</v>
      </c>
      <c r="R16" s="96">
        <v>1</v>
      </c>
      <c r="S16" s="96">
        <v>0</v>
      </c>
      <c r="T16" s="96">
        <v>0</v>
      </c>
      <c r="U16" s="96">
        <v>0</v>
      </c>
      <c r="V16" s="97">
        <v>2</v>
      </c>
      <c r="W16" s="97">
        <v>0</v>
      </c>
      <c r="X16" s="97">
        <v>1</v>
      </c>
      <c r="Y16" s="97">
        <v>0</v>
      </c>
      <c r="Z16" s="97">
        <v>2</v>
      </c>
      <c r="AA16" s="97">
        <v>0</v>
      </c>
      <c r="AB16" s="97">
        <v>4</v>
      </c>
      <c r="AC16" s="51"/>
      <c r="AD16" s="51"/>
    </row>
    <row r="17" spans="1:30" x14ac:dyDescent="0.25">
      <c r="A17" s="46" t="s">
        <v>153</v>
      </c>
      <c r="B17" s="95">
        <v>1</v>
      </c>
      <c r="C17" s="96">
        <v>1</v>
      </c>
      <c r="D17" s="96">
        <v>1</v>
      </c>
      <c r="E17" s="96">
        <v>1</v>
      </c>
      <c r="F17" s="96">
        <v>0</v>
      </c>
      <c r="G17" s="96">
        <v>1</v>
      </c>
      <c r="H17" s="96">
        <v>2</v>
      </c>
      <c r="I17" s="96">
        <v>1</v>
      </c>
      <c r="J17" s="96">
        <v>1</v>
      </c>
      <c r="K17" s="96">
        <v>0</v>
      </c>
      <c r="L17" s="96">
        <v>0</v>
      </c>
      <c r="M17" s="96">
        <v>1</v>
      </c>
      <c r="N17" s="96">
        <v>1</v>
      </c>
      <c r="O17" s="96">
        <v>1</v>
      </c>
      <c r="P17" s="96">
        <v>1</v>
      </c>
      <c r="Q17" s="96">
        <v>0</v>
      </c>
      <c r="R17" s="96">
        <v>1</v>
      </c>
      <c r="S17" s="96">
        <v>1</v>
      </c>
      <c r="T17" s="96">
        <v>0</v>
      </c>
      <c r="U17" s="96">
        <v>0</v>
      </c>
      <c r="V17" s="97">
        <v>0</v>
      </c>
      <c r="W17" s="97">
        <v>0</v>
      </c>
      <c r="X17" s="97">
        <v>0</v>
      </c>
      <c r="Y17" s="97">
        <v>0</v>
      </c>
      <c r="Z17" s="97">
        <v>2</v>
      </c>
      <c r="AA17" s="97">
        <v>1</v>
      </c>
      <c r="AB17" s="97">
        <v>3</v>
      </c>
      <c r="AC17" s="51"/>
      <c r="AD17" s="51"/>
    </row>
    <row r="18" spans="1:30" x14ac:dyDescent="0.25">
      <c r="A18" s="46" t="s">
        <v>154</v>
      </c>
      <c r="B18" s="95">
        <v>0</v>
      </c>
      <c r="C18" s="96">
        <v>0</v>
      </c>
      <c r="D18" s="96">
        <v>0</v>
      </c>
      <c r="E18" s="96">
        <v>1</v>
      </c>
      <c r="F18" s="96">
        <v>1</v>
      </c>
      <c r="G18" s="96">
        <v>1</v>
      </c>
      <c r="H18" s="96">
        <v>0</v>
      </c>
      <c r="I18" s="96">
        <v>1</v>
      </c>
      <c r="J18" s="96">
        <v>1</v>
      </c>
      <c r="K18" s="96">
        <v>0</v>
      </c>
      <c r="L18" s="96">
        <v>0</v>
      </c>
      <c r="M18" s="96">
        <v>1</v>
      </c>
      <c r="N18" s="96">
        <v>1</v>
      </c>
      <c r="O18" s="96">
        <v>0</v>
      </c>
      <c r="P18" s="96">
        <v>1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7">
        <v>1</v>
      </c>
      <c r="W18" s="97">
        <v>0</v>
      </c>
      <c r="X18" s="97">
        <v>0</v>
      </c>
      <c r="Y18" s="97">
        <v>0</v>
      </c>
      <c r="Z18" s="97">
        <v>1</v>
      </c>
      <c r="AA18" s="97">
        <v>0</v>
      </c>
      <c r="AB18" s="97">
        <v>0</v>
      </c>
      <c r="AC18" s="51"/>
      <c r="AD18" s="51"/>
    </row>
    <row r="19" spans="1:30" x14ac:dyDescent="0.25">
      <c r="A19" s="46" t="s">
        <v>155</v>
      </c>
      <c r="B19" s="95">
        <v>1</v>
      </c>
      <c r="C19" s="96">
        <v>1</v>
      </c>
      <c r="D19" s="96">
        <v>1</v>
      </c>
      <c r="E19" s="96">
        <v>1</v>
      </c>
      <c r="F19" s="96">
        <v>0</v>
      </c>
      <c r="G19" s="96">
        <v>0</v>
      </c>
      <c r="H19" s="96">
        <v>2</v>
      </c>
      <c r="I19" s="96">
        <v>0</v>
      </c>
      <c r="J19" s="96">
        <v>1</v>
      </c>
      <c r="K19" s="96">
        <v>0</v>
      </c>
      <c r="L19" s="96">
        <v>1</v>
      </c>
      <c r="M19" s="96">
        <v>1</v>
      </c>
      <c r="N19" s="96">
        <v>1</v>
      </c>
      <c r="O19" s="96">
        <v>1</v>
      </c>
      <c r="P19" s="96">
        <v>1</v>
      </c>
      <c r="Q19" s="96">
        <v>0</v>
      </c>
      <c r="R19" s="96">
        <v>1</v>
      </c>
      <c r="S19" s="96">
        <v>1</v>
      </c>
      <c r="T19" s="96">
        <v>0</v>
      </c>
      <c r="U19" s="96">
        <v>1</v>
      </c>
      <c r="V19" s="97">
        <v>3</v>
      </c>
      <c r="W19" s="97">
        <v>1</v>
      </c>
      <c r="X19" s="97">
        <v>0</v>
      </c>
      <c r="Y19" s="97">
        <v>0</v>
      </c>
      <c r="Z19" s="97">
        <v>2</v>
      </c>
      <c r="AA19" s="97">
        <v>0</v>
      </c>
      <c r="AB19" s="97">
        <v>3</v>
      </c>
      <c r="AC19" s="51"/>
      <c r="AD19" s="51"/>
    </row>
    <row r="20" spans="1:30" x14ac:dyDescent="0.25">
      <c r="A20" s="46" t="s">
        <v>156</v>
      </c>
      <c r="B20" s="95">
        <v>1</v>
      </c>
      <c r="C20" s="96">
        <v>0</v>
      </c>
      <c r="D20" s="96">
        <v>0</v>
      </c>
      <c r="E20" s="96">
        <v>0</v>
      </c>
      <c r="F20" s="96">
        <v>0</v>
      </c>
      <c r="G20" s="96">
        <v>1</v>
      </c>
      <c r="H20" s="96">
        <v>0</v>
      </c>
      <c r="I20" s="96">
        <v>0</v>
      </c>
      <c r="J20" s="96">
        <v>1</v>
      </c>
      <c r="K20" s="96">
        <v>0</v>
      </c>
      <c r="L20" s="96">
        <v>1</v>
      </c>
      <c r="M20" s="96">
        <v>0</v>
      </c>
      <c r="N20" s="96">
        <v>0</v>
      </c>
      <c r="O20" s="96">
        <v>1</v>
      </c>
      <c r="P20" s="96">
        <v>1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7">
        <v>0</v>
      </c>
      <c r="W20" s="97">
        <v>0</v>
      </c>
      <c r="X20" s="97">
        <v>0</v>
      </c>
      <c r="Y20" s="97">
        <v>0</v>
      </c>
      <c r="Z20" s="97">
        <v>0</v>
      </c>
      <c r="AA20" s="97">
        <v>1</v>
      </c>
      <c r="AB20" s="97">
        <v>0</v>
      </c>
      <c r="AC20" s="51"/>
      <c r="AD20" s="51"/>
    </row>
    <row r="21" spans="1:30" x14ac:dyDescent="0.25">
      <c r="A21" s="46" t="s">
        <v>157</v>
      </c>
      <c r="B21" s="95">
        <v>0</v>
      </c>
      <c r="C21" s="96">
        <v>1</v>
      </c>
      <c r="D21" s="96">
        <v>1</v>
      </c>
      <c r="E21" s="96">
        <v>1</v>
      </c>
      <c r="F21" s="96">
        <v>0</v>
      </c>
      <c r="G21" s="96">
        <v>1</v>
      </c>
      <c r="H21" s="96">
        <v>0</v>
      </c>
      <c r="I21" s="96">
        <v>1</v>
      </c>
      <c r="J21" s="96">
        <v>1</v>
      </c>
      <c r="K21" s="96">
        <v>0</v>
      </c>
      <c r="L21" s="96">
        <v>1</v>
      </c>
      <c r="M21" s="96">
        <v>1</v>
      </c>
      <c r="N21" s="96">
        <v>1</v>
      </c>
      <c r="O21" s="96">
        <v>0</v>
      </c>
      <c r="P21" s="96">
        <v>1</v>
      </c>
      <c r="Q21" s="96">
        <v>1</v>
      </c>
      <c r="R21" s="96">
        <v>1</v>
      </c>
      <c r="S21" s="96">
        <v>0</v>
      </c>
      <c r="T21" s="96">
        <v>0</v>
      </c>
      <c r="U21" s="96">
        <v>1</v>
      </c>
      <c r="V21" s="97">
        <v>3</v>
      </c>
      <c r="W21" s="97">
        <v>1</v>
      </c>
      <c r="X21" s="97">
        <v>0</v>
      </c>
      <c r="Y21" s="97">
        <v>0</v>
      </c>
      <c r="Z21" s="97">
        <v>2</v>
      </c>
      <c r="AA21" s="97">
        <v>0</v>
      </c>
      <c r="AB21" s="97">
        <v>0</v>
      </c>
      <c r="AC21" s="51"/>
      <c r="AD21" s="51"/>
    </row>
    <row r="22" spans="1:30" x14ac:dyDescent="0.25">
      <c r="A22" s="46" t="s">
        <v>158</v>
      </c>
      <c r="B22" s="95">
        <v>1</v>
      </c>
      <c r="C22" s="96">
        <v>1</v>
      </c>
      <c r="D22" s="96">
        <v>1</v>
      </c>
      <c r="E22" s="96">
        <v>0</v>
      </c>
      <c r="F22" s="96">
        <v>0</v>
      </c>
      <c r="G22" s="96">
        <v>1</v>
      </c>
      <c r="H22" s="96">
        <v>0</v>
      </c>
      <c r="I22" s="96">
        <v>1</v>
      </c>
      <c r="J22" s="96">
        <v>0</v>
      </c>
      <c r="K22" s="96">
        <v>1</v>
      </c>
      <c r="L22" s="96">
        <v>0</v>
      </c>
      <c r="M22" s="96">
        <v>1</v>
      </c>
      <c r="N22" s="96">
        <v>1</v>
      </c>
      <c r="O22" s="96">
        <v>0</v>
      </c>
      <c r="P22" s="96">
        <v>1</v>
      </c>
      <c r="Q22" s="96">
        <v>1</v>
      </c>
      <c r="R22" s="96">
        <v>1</v>
      </c>
      <c r="S22" s="96">
        <v>1</v>
      </c>
      <c r="T22" s="96">
        <v>0</v>
      </c>
      <c r="U22" s="96">
        <v>0</v>
      </c>
      <c r="V22" s="97">
        <v>1</v>
      </c>
      <c r="W22" s="97">
        <v>0</v>
      </c>
      <c r="X22" s="97">
        <v>0</v>
      </c>
      <c r="Y22" s="97">
        <v>0</v>
      </c>
      <c r="Z22" s="97">
        <v>2</v>
      </c>
      <c r="AA22" s="97">
        <v>0</v>
      </c>
      <c r="AB22" s="97">
        <v>0</v>
      </c>
      <c r="AC22" s="51"/>
      <c r="AD22" s="51"/>
    </row>
    <row r="23" spans="1:30" x14ac:dyDescent="0.25">
      <c r="A23" s="46" t="s">
        <v>159</v>
      </c>
      <c r="B23" s="95">
        <v>1</v>
      </c>
      <c r="C23" s="96">
        <v>1</v>
      </c>
      <c r="D23" s="96">
        <v>1</v>
      </c>
      <c r="E23" s="96">
        <v>1</v>
      </c>
      <c r="F23" s="96">
        <v>0</v>
      </c>
      <c r="G23" s="96">
        <v>1</v>
      </c>
      <c r="H23" s="96">
        <v>0</v>
      </c>
      <c r="I23" s="96">
        <v>0</v>
      </c>
      <c r="J23" s="96">
        <v>1</v>
      </c>
      <c r="K23" s="96">
        <v>0</v>
      </c>
      <c r="L23" s="96">
        <v>1</v>
      </c>
      <c r="M23" s="96">
        <v>1</v>
      </c>
      <c r="N23" s="96">
        <v>1</v>
      </c>
      <c r="O23" s="96">
        <v>1</v>
      </c>
      <c r="P23" s="96">
        <v>1</v>
      </c>
      <c r="Q23" s="96">
        <v>0</v>
      </c>
      <c r="R23" s="96">
        <v>1</v>
      </c>
      <c r="S23" s="96">
        <v>1</v>
      </c>
      <c r="T23" s="96">
        <v>1</v>
      </c>
      <c r="U23" s="96">
        <v>0</v>
      </c>
      <c r="V23" s="97">
        <v>0</v>
      </c>
      <c r="W23" s="97">
        <v>0</v>
      </c>
      <c r="X23" s="97">
        <v>1</v>
      </c>
      <c r="Y23" s="97">
        <v>0</v>
      </c>
      <c r="Z23" s="97">
        <v>2</v>
      </c>
      <c r="AA23" s="97">
        <v>0</v>
      </c>
      <c r="AB23" s="97">
        <v>5</v>
      </c>
      <c r="AC23" s="51"/>
      <c r="AD23" s="51"/>
    </row>
    <row r="24" spans="1:30" x14ac:dyDescent="0.25">
      <c r="A24" s="46" t="s">
        <v>160</v>
      </c>
      <c r="B24" s="95">
        <v>1</v>
      </c>
      <c r="C24" s="96">
        <v>0</v>
      </c>
      <c r="D24" s="96">
        <v>1</v>
      </c>
      <c r="E24" s="96">
        <v>1</v>
      </c>
      <c r="F24" s="96">
        <v>1</v>
      </c>
      <c r="G24" s="96">
        <v>1</v>
      </c>
      <c r="H24" s="96">
        <v>1</v>
      </c>
      <c r="I24" s="96">
        <v>0</v>
      </c>
      <c r="J24" s="96">
        <v>0</v>
      </c>
      <c r="K24" s="96">
        <v>0</v>
      </c>
      <c r="L24" s="96">
        <v>0</v>
      </c>
      <c r="M24" s="96">
        <v>1</v>
      </c>
      <c r="N24" s="96">
        <v>0</v>
      </c>
      <c r="O24" s="96">
        <v>0</v>
      </c>
      <c r="P24" s="96">
        <v>1</v>
      </c>
      <c r="Q24" s="96">
        <v>0</v>
      </c>
      <c r="R24" s="96">
        <v>1</v>
      </c>
      <c r="S24" s="96">
        <v>1</v>
      </c>
      <c r="T24" s="96">
        <v>0</v>
      </c>
      <c r="U24" s="96">
        <v>1</v>
      </c>
      <c r="V24" s="97">
        <v>2</v>
      </c>
      <c r="W24" s="97">
        <v>0</v>
      </c>
      <c r="X24" s="97">
        <v>0</v>
      </c>
      <c r="Y24" s="97">
        <v>0</v>
      </c>
      <c r="Z24" s="97">
        <v>2</v>
      </c>
      <c r="AA24" s="97">
        <v>1</v>
      </c>
      <c r="AB24" s="97">
        <v>4</v>
      </c>
      <c r="AC24" s="51"/>
      <c r="AD24" s="51"/>
    </row>
    <row r="25" spans="1:30" x14ac:dyDescent="0.25">
      <c r="A25" s="46" t="s">
        <v>161</v>
      </c>
      <c r="B25" s="95">
        <v>1</v>
      </c>
      <c r="C25" s="96">
        <v>0</v>
      </c>
      <c r="D25" s="96">
        <v>1</v>
      </c>
      <c r="E25" s="96">
        <v>1</v>
      </c>
      <c r="F25" s="96">
        <v>0</v>
      </c>
      <c r="G25" s="96">
        <v>1</v>
      </c>
      <c r="H25" s="96">
        <v>2</v>
      </c>
      <c r="I25" s="96">
        <v>0</v>
      </c>
      <c r="J25" s="96">
        <v>1</v>
      </c>
      <c r="K25" s="96">
        <v>0</v>
      </c>
      <c r="L25" s="96">
        <v>0</v>
      </c>
      <c r="M25" s="96">
        <v>1</v>
      </c>
      <c r="N25" s="96">
        <v>0</v>
      </c>
      <c r="O25" s="96">
        <v>0</v>
      </c>
      <c r="P25" s="96">
        <v>1</v>
      </c>
      <c r="Q25" s="96">
        <v>0</v>
      </c>
      <c r="R25" s="96">
        <v>0</v>
      </c>
      <c r="S25" s="96">
        <v>0</v>
      </c>
      <c r="T25" s="96">
        <v>1</v>
      </c>
      <c r="U25" s="96">
        <v>0</v>
      </c>
      <c r="V25" s="97">
        <v>2</v>
      </c>
      <c r="W25" s="97">
        <v>0</v>
      </c>
      <c r="X25" s="97">
        <v>0</v>
      </c>
      <c r="Y25" s="97">
        <v>0</v>
      </c>
      <c r="Z25" s="97">
        <v>2</v>
      </c>
      <c r="AA25" s="97">
        <v>0</v>
      </c>
      <c r="AB25" s="97">
        <v>5</v>
      </c>
      <c r="AC25" s="51"/>
      <c r="AD25" s="51"/>
    </row>
    <row r="26" spans="1:30" x14ac:dyDescent="0.25">
      <c r="A26" s="46"/>
      <c r="B26" s="1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4"/>
      <c r="W26" s="4"/>
      <c r="X26" s="4"/>
      <c r="Y26" s="4"/>
      <c r="Z26" s="4"/>
      <c r="AA26" s="4"/>
      <c r="AB26" s="26"/>
      <c r="AC26" s="51"/>
      <c r="AD26" s="51"/>
    </row>
    <row r="27" spans="1:30" ht="15.75" thickBot="1" x14ac:dyDescent="0.3">
      <c r="A27" s="47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30"/>
      <c r="X27" s="30"/>
      <c r="Y27" s="30"/>
      <c r="Z27" s="30"/>
      <c r="AA27" s="30"/>
      <c r="AB27" s="31"/>
      <c r="AC27" s="58"/>
      <c r="AD27" s="58"/>
    </row>
    <row r="28" spans="1:30" x14ac:dyDescent="0.25">
      <c r="AC28" s="60"/>
      <c r="AD28" s="60"/>
    </row>
    <row r="29" spans="1:30" x14ac:dyDescent="0.25">
      <c r="AC29" s="59"/>
      <c r="AD29" s="59"/>
    </row>
    <row r="30" spans="1:30" x14ac:dyDescent="0.25">
      <c r="AC30" s="59"/>
      <c r="AD30" s="59"/>
    </row>
    <row r="31" spans="1:30" x14ac:dyDescent="0.25">
      <c r="AC31" s="59"/>
      <c r="AD31" s="59"/>
    </row>
    <row r="35" spans="1:28" x14ac:dyDescent="0.25">
      <c r="A35" s="49" t="s">
        <v>162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x14ac:dyDescent="0.25">
      <c r="A36" s="49" t="s">
        <v>163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ht="30" x14ac:dyDescent="0.25">
      <c r="A37" s="50" t="s">
        <v>164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ht="30" x14ac:dyDescent="0.25">
      <c r="A38" s="50" t="s">
        <v>165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44" spans="1:28" ht="15.75" thickBot="1" x14ac:dyDescent="0.3"/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/>
      <c r="C47" s="73"/>
      <c r="D47" s="73"/>
      <c r="E47" s="73"/>
      <c r="F47" s="74"/>
      <c r="G47" s="72"/>
      <c r="H47" s="73"/>
      <c r="I47" s="73"/>
      <c r="J47" s="73"/>
      <c r="K47" s="74"/>
      <c r="L47" s="72"/>
      <c r="M47" s="73"/>
      <c r="N47" s="73"/>
      <c r="O47" s="73"/>
      <c r="P47" s="74"/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/>
    </row>
    <row r="53" spans="2:6" x14ac:dyDescent="0.25">
      <c r="B53" s="89" t="s">
        <v>173</v>
      </c>
      <c r="C53" s="87"/>
      <c r="D53" s="87"/>
      <c r="E53" s="87"/>
      <c r="F53" s="90"/>
    </row>
    <row r="54" spans="2:6" x14ac:dyDescent="0.25">
      <c r="B54" s="89" t="s">
        <v>174</v>
      </c>
      <c r="C54" s="87"/>
      <c r="D54" s="87"/>
      <c r="E54" s="87"/>
      <c r="F54" s="90"/>
    </row>
    <row r="55" spans="2:6" x14ac:dyDescent="0.25">
      <c r="B55" s="89" t="s">
        <v>175</v>
      </c>
      <c r="C55" s="87"/>
      <c r="D55" s="87"/>
      <c r="E55" s="87"/>
      <c r="F55" s="90"/>
    </row>
    <row r="56" spans="2:6" x14ac:dyDescent="0.25">
      <c r="B56" s="89" t="s">
        <v>176</v>
      </c>
      <c r="C56" s="87"/>
      <c r="D56" s="87"/>
      <c r="E56" s="87"/>
      <c r="F56" s="90"/>
    </row>
    <row r="57" spans="2:6" x14ac:dyDescent="0.25">
      <c r="B57" s="89" t="s">
        <v>177</v>
      </c>
      <c r="C57" s="87"/>
      <c r="D57" s="87"/>
      <c r="E57" s="87"/>
      <c r="F57" s="90"/>
    </row>
    <row r="58" spans="2:6" x14ac:dyDescent="0.25">
      <c r="B58" s="89" t="s">
        <v>178</v>
      </c>
      <c r="C58" s="87"/>
      <c r="D58" s="87"/>
      <c r="E58" s="87"/>
      <c r="F58" s="90"/>
    </row>
    <row r="59" spans="2:6" x14ac:dyDescent="0.25">
      <c r="B59" s="89" t="s">
        <v>179</v>
      </c>
      <c r="C59" s="87"/>
      <c r="D59" s="87"/>
      <c r="E59" s="87"/>
      <c r="F59" s="90"/>
    </row>
    <row r="60" spans="2:6" ht="15.75" thickBot="1" x14ac:dyDescent="0.3">
      <c r="B60" s="88" t="s">
        <v>180</v>
      </c>
      <c r="C60" s="84"/>
      <c r="D60" s="84"/>
      <c r="E60" s="84"/>
      <c r="F60" s="8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A43B-178A-4728-AC2F-641D07CAAB3E}">
  <dimension ref="A1:AD60"/>
  <sheetViews>
    <sheetView topLeftCell="A31" zoomScale="70" zoomScaleNormal="70" workbookViewId="0">
      <selection activeCell="N32" sqref="N32"/>
    </sheetView>
  </sheetViews>
  <sheetFormatPr defaultRowHeight="15" x14ac:dyDescent="0.25"/>
  <cols>
    <col min="1" max="1" width="18.85546875" customWidth="1"/>
  </cols>
  <sheetData>
    <row r="1" spans="1:30" ht="30.75" thickBot="1" x14ac:dyDescent="0.3">
      <c r="A1" s="6" t="s">
        <v>119</v>
      </c>
      <c r="B1" s="64" t="s">
        <v>169</v>
      </c>
      <c r="C1" s="63">
        <v>22</v>
      </c>
    </row>
    <row r="2" spans="1:30" ht="15.75" thickBot="1" x14ac:dyDescent="0.3"/>
    <row r="3" spans="1:30" x14ac:dyDescent="0.25">
      <c r="A3" s="39" t="s">
        <v>0</v>
      </c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40" t="s">
        <v>1</v>
      </c>
      <c r="W3" s="40" t="s">
        <v>2</v>
      </c>
      <c r="X3" s="40" t="s">
        <v>3</v>
      </c>
      <c r="Y3" s="41" t="s">
        <v>4</v>
      </c>
      <c r="Z3" s="40">
        <v>23</v>
      </c>
      <c r="AA3" s="40">
        <v>24</v>
      </c>
      <c r="AB3" s="42">
        <v>25</v>
      </c>
    </row>
    <row r="4" spans="1:30" x14ac:dyDescent="0.25">
      <c r="A4" s="43" t="s">
        <v>5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9</v>
      </c>
      <c r="J4" s="1" t="s">
        <v>9</v>
      </c>
      <c r="K4" s="1" t="s">
        <v>7</v>
      </c>
      <c r="L4" s="1" t="s">
        <v>7</v>
      </c>
      <c r="M4" s="1" t="s">
        <v>9</v>
      </c>
      <c r="N4" s="1" t="s">
        <v>9</v>
      </c>
      <c r="O4" s="1" t="s">
        <v>6</v>
      </c>
      <c r="P4" s="1" t="s">
        <v>6</v>
      </c>
      <c r="Q4" s="1" t="s">
        <v>6</v>
      </c>
      <c r="R4" s="1" t="s">
        <v>8</v>
      </c>
      <c r="S4" s="1" t="s">
        <v>7</v>
      </c>
      <c r="T4" s="1" t="s">
        <v>9</v>
      </c>
      <c r="U4" s="1" t="s">
        <v>9</v>
      </c>
      <c r="V4" s="2" t="s">
        <v>7</v>
      </c>
      <c r="W4" s="2" t="s">
        <v>9</v>
      </c>
      <c r="X4" s="2" t="s">
        <v>7</v>
      </c>
      <c r="Y4" s="2" t="s">
        <v>9</v>
      </c>
      <c r="Z4" s="2" t="s">
        <v>6</v>
      </c>
      <c r="AA4" s="2" t="s">
        <v>6</v>
      </c>
      <c r="AB4" s="11" t="s">
        <v>10</v>
      </c>
    </row>
    <row r="5" spans="1:30" ht="15.75" thickBot="1" x14ac:dyDescent="0.3">
      <c r="A5" s="48" t="s">
        <v>120</v>
      </c>
      <c r="B5" s="12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2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3">
        <v>3</v>
      </c>
      <c r="W5" s="13">
        <v>1</v>
      </c>
      <c r="X5" s="13">
        <v>2</v>
      </c>
      <c r="Y5" s="13">
        <v>2</v>
      </c>
      <c r="Z5" s="13">
        <v>2</v>
      </c>
      <c r="AA5" s="13">
        <v>1</v>
      </c>
      <c r="AB5" s="14">
        <v>8</v>
      </c>
      <c r="AC5" s="56" t="s">
        <v>162</v>
      </c>
      <c r="AD5" s="56" t="s">
        <v>163</v>
      </c>
    </row>
    <row r="6" spans="1:30" x14ac:dyDescent="0.25">
      <c r="A6" s="45" t="s">
        <v>121</v>
      </c>
      <c r="B6" s="23">
        <v>1</v>
      </c>
      <c r="C6" s="18">
        <v>1</v>
      </c>
      <c r="D6" s="18">
        <v>1</v>
      </c>
      <c r="E6" s="18">
        <v>1</v>
      </c>
      <c r="F6" s="18">
        <v>0</v>
      </c>
      <c r="G6" s="18">
        <v>1</v>
      </c>
      <c r="H6" s="18">
        <v>2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0</v>
      </c>
      <c r="R6" s="18">
        <v>1</v>
      </c>
      <c r="S6" s="18">
        <v>1</v>
      </c>
      <c r="T6" s="18">
        <v>0</v>
      </c>
      <c r="U6" s="18">
        <v>0</v>
      </c>
      <c r="V6" s="19">
        <v>2</v>
      </c>
      <c r="W6" s="19">
        <v>0</v>
      </c>
      <c r="X6" s="19">
        <v>2</v>
      </c>
      <c r="Y6" s="19">
        <v>0</v>
      </c>
      <c r="Z6" s="19">
        <v>2</v>
      </c>
      <c r="AA6" s="19">
        <v>1</v>
      </c>
      <c r="AB6" s="25">
        <v>4</v>
      </c>
      <c r="AC6" s="51"/>
      <c r="AD6" s="51"/>
    </row>
    <row r="7" spans="1:30" x14ac:dyDescent="0.25">
      <c r="A7" s="46" t="s">
        <v>122</v>
      </c>
      <c r="B7" s="16">
        <v>1</v>
      </c>
      <c r="C7" s="3">
        <v>1</v>
      </c>
      <c r="D7" s="3">
        <v>1</v>
      </c>
      <c r="E7" s="3">
        <v>1</v>
      </c>
      <c r="F7" s="3">
        <v>1</v>
      </c>
      <c r="G7" s="3">
        <v>0</v>
      </c>
      <c r="H7" s="3">
        <v>1</v>
      </c>
      <c r="I7" s="3">
        <v>0</v>
      </c>
      <c r="J7" s="3">
        <v>1</v>
      </c>
      <c r="K7" s="3">
        <v>0</v>
      </c>
      <c r="L7" s="3">
        <v>1</v>
      </c>
      <c r="M7" s="3">
        <v>1</v>
      </c>
      <c r="N7" s="3">
        <v>0</v>
      </c>
      <c r="O7" s="3">
        <v>0</v>
      </c>
      <c r="P7" s="3">
        <v>1</v>
      </c>
      <c r="Q7" s="3">
        <v>0</v>
      </c>
      <c r="R7" s="3">
        <v>1</v>
      </c>
      <c r="S7" s="3">
        <v>1</v>
      </c>
      <c r="T7" s="3">
        <v>0</v>
      </c>
      <c r="U7" s="3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26">
        <v>3</v>
      </c>
      <c r="AC7" s="51"/>
      <c r="AD7" s="51"/>
    </row>
    <row r="8" spans="1:30" x14ac:dyDescent="0.25">
      <c r="A8" s="46" t="s">
        <v>123</v>
      </c>
      <c r="B8" s="16">
        <v>1</v>
      </c>
      <c r="C8" s="3">
        <v>1</v>
      </c>
      <c r="D8" s="3">
        <v>1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1</v>
      </c>
      <c r="N8" s="3">
        <v>0</v>
      </c>
      <c r="O8" s="3">
        <v>1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4">
        <v>0</v>
      </c>
      <c r="X8" s="4">
        <v>0</v>
      </c>
      <c r="Y8" s="4">
        <v>0</v>
      </c>
      <c r="Z8" s="4">
        <v>2</v>
      </c>
      <c r="AA8" s="4">
        <v>0</v>
      </c>
      <c r="AB8" s="26">
        <v>2</v>
      </c>
      <c r="AC8" s="51"/>
      <c r="AD8" s="51"/>
    </row>
    <row r="9" spans="1:30" x14ac:dyDescent="0.25">
      <c r="A9" s="46" t="s">
        <v>124</v>
      </c>
      <c r="B9" s="16">
        <v>1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1</v>
      </c>
      <c r="N9" s="3">
        <v>1</v>
      </c>
      <c r="O9" s="3">
        <v>1</v>
      </c>
      <c r="P9" s="3">
        <v>1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4">
        <v>3</v>
      </c>
      <c r="W9" s="4">
        <v>0</v>
      </c>
      <c r="X9" s="4">
        <v>0</v>
      </c>
      <c r="Y9" s="4">
        <v>0</v>
      </c>
      <c r="Z9" s="4">
        <v>2</v>
      </c>
      <c r="AA9" s="4">
        <v>1</v>
      </c>
      <c r="AB9" s="26">
        <v>3</v>
      </c>
      <c r="AC9" s="51"/>
      <c r="AD9" s="51"/>
    </row>
    <row r="10" spans="1:30" x14ac:dyDescent="0.25">
      <c r="A10" s="46" t="s">
        <v>125</v>
      </c>
      <c r="B10" s="16">
        <v>1</v>
      </c>
      <c r="C10" s="3">
        <v>1</v>
      </c>
      <c r="D10" s="3">
        <v>1</v>
      </c>
      <c r="E10" s="3">
        <v>1</v>
      </c>
      <c r="F10" s="3">
        <v>0</v>
      </c>
      <c r="G10" s="3">
        <v>1</v>
      </c>
      <c r="H10" s="3">
        <v>2</v>
      </c>
      <c r="I10" s="3">
        <v>0</v>
      </c>
      <c r="J10" s="3">
        <v>0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1</v>
      </c>
      <c r="S10" s="3">
        <v>1</v>
      </c>
      <c r="T10" s="3">
        <v>1</v>
      </c>
      <c r="U10" s="3">
        <v>0</v>
      </c>
      <c r="V10" s="4">
        <v>0</v>
      </c>
      <c r="W10" s="4">
        <v>0</v>
      </c>
      <c r="X10" s="4">
        <v>0</v>
      </c>
      <c r="Y10" s="4">
        <v>0</v>
      </c>
      <c r="Z10" s="4">
        <v>2</v>
      </c>
      <c r="AA10" s="4">
        <v>0</v>
      </c>
      <c r="AB10" s="26">
        <v>2</v>
      </c>
      <c r="AC10" s="51"/>
      <c r="AD10" s="51"/>
    </row>
    <row r="11" spans="1:30" x14ac:dyDescent="0.25">
      <c r="A11" s="46" t="s">
        <v>126</v>
      </c>
      <c r="B11" s="16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4">
        <v>3</v>
      </c>
      <c r="W11" s="4">
        <v>1</v>
      </c>
      <c r="X11" s="4">
        <v>2</v>
      </c>
      <c r="Y11" s="4">
        <v>2</v>
      </c>
      <c r="Z11" s="4">
        <v>2</v>
      </c>
      <c r="AA11" s="4">
        <v>1</v>
      </c>
      <c r="AB11" s="26">
        <v>6</v>
      </c>
      <c r="AC11" s="51"/>
      <c r="AD11" s="51"/>
    </row>
    <row r="12" spans="1:30" x14ac:dyDescent="0.25">
      <c r="A12" s="46" t="s">
        <v>127</v>
      </c>
      <c r="B12" s="16">
        <v>1</v>
      </c>
      <c r="C12" s="3">
        <v>0</v>
      </c>
      <c r="D12" s="3">
        <v>1</v>
      </c>
      <c r="E12" s="3">
        <v>1</v>
      </c>
      <c r="F12" s="3">
        <v>0</v>
      </c>
      <c r="G12" s="3">
        <v>1</v>
      </c>
      <c r="H12" s="3">
        <v>2</v>
      </c>
      <c r="I12" s="3">
        <v>0</v>
      </c>
      <c r="J12" s="3">
        <v>1</v>
      </c>
      <c r="K12" s="3">
        <v>1</v>
      </c>
      <c r="L12" s="3">
        <v>0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4">
        <v>3</v>
      </c>
      <c r="W12" s="4">
        <v>1</v>
      </c>
      <c r="X12" s="4">
        <v>1</v>
      </c>
      <c r="Y12" s="4">
        <v>0</v>
      </c>
      <c r="Z12" s="4">
        <v>2</v>
      </c>
      <c r="AA12" s="4">
        <v>0</v>
      </c>
      <c r="AB12" s="26">
        <v>5</v>
      </c>
      <c r="AC12" s="51"/>
      <c r="AD12" s="51"/>
    </row>
    <row r="13" spans="1:30" x14ac:dyDescent="0.25">
      <c r="A13" s="46" t="s">
        <v>128</v>
      </c>
      <c r="B13" s="16">
        <v>1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2</v>
      </c>
      <c r="I13" s="3">
        <v>1</v>
      </c>
      <c r="J13" s="3">
        <v>1</v>
      </c>
      <c r="K13" s="3">
        <v>0</v>
      </c>
      <c r="L13" s="3">
        <v>1</v>
      </c>
      <c r="M13" s="3">
        <v>1</v>
      </c>
      <c r="N13" s="3">
        <v>0</v>
      </c>
      <c r="O13" s="3">
        <v>0</v>
      </c>
      <c r="P13" s="3">
        <v>1</v>
      </c>
      <c r="Q13" s="3">
        <v>0</v>
      </c>
      <c r="R13" s="3">
        <v>1</v>
      </c>
      <c r="S13" s="3">
        <v>1</v>
      </c>
      <c r="T13" s="3">
        <v>1</v>
      </c>
      <c r="U13" s="3">
        <v>0</v>
      </c>
      <c r="V13" s="4">
        <v>0</v>
      </c>
      <c r="W13" s="4">
        <v>0</v>
      </c>
      <c r="X13" s="4">
        <v>0</v>
      </c>
      <c r="Y13" s="4">
        <v>0</v>
      </c>
      <c r="Z13" s="4">
        <v>2</v>
      </c>
      <c r="AA13" s="4">
        <v>0</v>
      </c>
      <c r="AB13" s="26">
        <v>3</v>
      </c>
      <c r="AC13" s="51"/>
      <c r="AD13" s="51"/>
    </row>
    <row r="14" spans="1:30" x14ac:dyDescent="0.25">
      <c r="A14" s="46" t="s">
        <v>129</v>
      </c>
      <c r="B14" s="16">
        <v>1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0</v>
      </c>
      <c r="I14" s="3">
        <v>1</v>
      </c>
      <c r="J14" s="3">
        <v>1</v>
      </c>
      <c r="K14" s="3">
        <v>1</v>
      </c>
      <c r="L14" s="3">
        <v>0</v>
      </c>
      <c r="M14" s="3">
        <v>1</v>
      </c>
      <c r="N14" s="3">
        <v>1</v>
      </c>
      <c r="O14" s="3">
        <v>1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4">
        <v>0</v>
      </c>
      <c r="W14" s="4">
        <v>0</v>
      </c>
      <c r="X14" s="4">
        <v>0</v>
      </c>
      <c r="Y14" s="4">
        <v>0</v>
      </c>
      <c r="Z14" s="4">
        <v>2</v>
      </c>
      <c r="AA14" s="4">
        <v>0</v>
      </c>
      <c r="AB14" s="26">
        <v>1</v>
      </c>
      <c r="AC14" s="51"/>
      <c r="AD14" s="51"/>
    </row>
    <row r="15" spans="1:30" x14ac:dyDescent="0.25">
      <c r="A15" s="46" t="s">
        <v>130</v>
      </c>
      <c r="B15" s="16">
        <v>1</v>
      </c>
      <c r="C15" s="3">
        <v>1</v>
      </c>
      <c r="D15" s="3">
        <v>1</v>
      </c>
      <c r="E15" s="3">
        <v>0</v>
      </c>
      <c r="F15" s="3">
        <v>0</v>
      </c>
      <c r="G15" s="3">
        <v>1</v>
      </c>
      <c r="H15" s="3">
        <v>2</v>
      </c>
      <c r="I15" s="3">
        <v>0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0</v>
      </c>
      <c r="R15" s="3">
        <v>1</v>
      </c>
      <c r="S15" s="3">
        <v>1</v>
      </c>
      <c r="T15" s="3">
        <v>0</v>
      </c>
      <c r="U15" s="3">
        <v>1</v>
      </c>
      <c r="V15" s="4">
        <v>3</v>
      </c>
      <c r="W15" s="4">
        <v>1</v>
      </c>
      <c r="X15" s="4">
        <v>0</v>
      </c>
      <c r="Y15" s="4">
        <v>0</v>
      </c>
      <c r="Z15" s="4">
        <v>2</v>
      </c>
      <c r="AA15" s="4">
        <v>1</v>
      </c>
      <c r="AB15" s="26">
        <v>2</v>
      </c>
      <c r="AC15" s="51"/>
      <c r="AD15" s="51"/>
    </row>
    <row r="16" spans="1:30" x14ac:dyDescent="0.25">
      <c r="A16" s="46" t="s">
        <v>131</v>
      </c>
      <c r="B16" s="16">
        <v>1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1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0</v>
      </c>
      <c r="R16" s="3">
        <v>1</v>
      </c>
      <c r="S16" s="3">
        <v>1</v>
      </c>
      <c r="T16" s="3">
        <v>1</v>
      </c>
      <c r="U16" s="3">
        <v>0</v>
      </c>
      <c r="V16" s="4">
        <v>3</v>
      </c>
      <c r="W16" s="4">
        <v>0</v>
      </c>
      <c r="X16" s="4">
        <v>2</v>
      </c>
      <c r="Y16" s="4">
        <v>0</v>
      </c>
      <c r="Z16" s="4">
        <v>1</v>
      </c>
      <c r="AA16" s="4">
        <v>1</v>
      </c>
      <c r="AB16" s="26">
        <v>4</v>
      </c>
      <c r="AC16" s="51"/>
      <c r="AD16" s="51"/>
    </row>
    <row r="17" spans="1:30" x14ac:dyDescent="0.25">
      <c r="A17" s="46" t="s">
        <v>132</v>
      </c>
      <c r="B17" s="16">
        <v>1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3">
        <v>1</v>
      </c>
      <c r="I17" s="3">
        <v>0</v>
      </c>
      <c r="J17" s="3">
        <v>1</v>
      </c>
      <c r="K17" s="3">
        <v>1</v>
      </c>
      <c r="L17" s="3">
        <v>0</v>
      </c>
      <c r="M17" s="3">
        <v>1</v>
      </c>
      <c r="N17" s="3">
        <v>0</v>
      </c>
      <c r="O17" s="3">
        <v>1</v>
      </c>
      <c r="P17" s="3">
        <v>1</v>
      </c>
      <c r="Q17" s="3">
        <v>1</v>
      </c>
      <c r="R17" s="3">
        <v>0</v>
      </c>
      <c r="S17" s="3">
        <v>1</v>
      </c>
      <c r="T17" s="3">
        <v>0</v>
      </c>
      <c r="U17" s="3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26">
        <v>1</v>
      </c>
      <c r="AC17" s="51"/>
      <c r="AD17" s="51"/>
    </row>
    <row r="18" spans="1:30" x14ac:dyDescent="0.25">
      <c r="A18" s="46" t="s">
        <v>133</v>
      </c>
      <c r="B18" s="16">
        <v>1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2</v>
      </c>
      <c r="I18" s="3">
        <v>0</v>
      </c>
      <c r="J18" s="3">
        <v>1</v>
      </c>
      <c r="K18" s="3">
        <v>1</v>
      </c>
      <c r="L18" s="3">
        <v>1</v>
      </c>
      <c r="M18" s="3">
        <v>1</v>
      </c>
      <c r="N18" s="3">
        <v>0</v>
      </c>
      <c r="O18" s="3">
        <v>1</v>
      </c>
      <c r="P18" s="3">
        <v>1</v>
      </c>
      <c r="Q18" s="3">
        <v>0</v>
      </c>
      <c r="R18" s="3">
        <v>1</v>
      </c>
      <c r="S18" s="3">
        <v>1</v>
      </c>
      <c r="T18" s="3">
        <v>1</v>
      </c>
      <c r="U18" s="3">
        <v>0</v>
      </c>
      <c r="V18" s="4">
        <v>1</v>
      </c>
      <c r="W18" s="4">
        <v>0</v>
      </c>
      <c r="X18" s="4">
        <v>2</v>
      </c>
      <c r="Y18" s="4">
        <v>0</v>
      </c>
      <c r="Z18" s="4">
        <v>2</v>
      </c>
      <c r="AA18" s="4">
        <v>1</v>
      </c>
      <c r="AB18" s="26">
        <v>3</v>
      </c>
      <c r="AC18" s="51"/>
      <c r="AD18" s="51"/>
    </row>
    <row r="19" spans="1:30" x14ac:dyDescent="0.25">
      <c r="A19" s="46" t="s">
        <v>134</v>
      </c>
      <c r="B19" s="16">
        <v>1</v>
      </c>
      <c r="C19" s="3">
        <v>1</v>
      </c>
      <c r="D19" s="3">
        <v>1</v>
      </c>
      <c r="E19" s="3">
        <v>1</v>
      </c>
      <c r="F19" s="3">
        <v>0</v>
      </c>
      <c r="G19" s="3">
        <v>1</v>
      </c>
      <c r="H19" s="3">
        <v>2</v>
      </c>
      <c r="I19" s="3">
        <v>0</v>
      </c>
      <c r="J19" s="3">
        <v>1</v>
      </c>
      <c r="K19" s="3">
        <v>0</v>
      </c>
      <c r="L19" s="3">
        <v>0</v>
      </c>
      <c r="M19" s="3">
        <v>1</v>
      </c>
      <c r="N19" s="3">
        <v>1</v>
      </c>
      <c r="O19" s="3">
        <v>1</v>
      </c>
      <c r="P19" s="3">
        <v>1</v>
      </c>
      <c r="Q19" s="3">
        <v>0</v>
      </c>
      <c r="R19" s="3">
        <v>1</v>
      </c>
      <c r="S19" s="3">
        <v>1</v>
      </c>
      <c r="T19" s="3">
        <v>1</v>
      </c>
      <c r="U19" s="3">
        <v>1</v>
      </c>
      <c r="V19" s="4">
        <v>3</v>
      </c>
      <c r="W19" s="4">
        <v>1</v>
      </c>
      <c r="X19" s="4">
        <v>0</v>
      </c>
      <c r="Y19" s="4">
        <v>0</v>
      </c>
      <c r="Z19" s="4">
        <v>2</v>
      </c>
      <c r="AA19" s="4">
        <v>0</v>
      </c>
      <c r="AB19" s="26">
        <v>4</v>
      </c>
      <c r="AC19" s="51"/>
      <c r="AD19" s="51"/>
    </row>
    <row r="20" spans="1:30" x14ac:dyDescent="0.25">
      <c r="A20" s="46" t="s">
        <v>135</v>
      </c>
      <c r="B20" s="16">
        <v>1</v>
      </c>
      <c r="C20" s="3">
        <v>1</v>
      </c>
      <c r="D20" s="3">
        <v>1</v>
      </c>
      <c r="E20" s="3">
        <v>1</v>
      </c>
      <c r="F20" s="3">
        <v>0</v>
      </c>
      <c r="G20" s="3">
        <v>1</v>
      </c>
      <c r="H20" s="3">
        <v>2</v>
      </c>
      <c r="I20" s="3">
        <v>0</v>
      </c>
      <c r="J20" s="3">
        <v>1</v>
      </c>
      <c r="K20" s="3">
        <v>0</v>
      </c>
      <c r="L20" s="3">
        <v>1</v>
      </c>
      <c r="M20" s="3">
        <v>1</v>
      </c>
      <c r="N20" s="3">
        <v>1</v>
      </c>
      <c r="O20" s="3">
        <v>0</v>
      </c>
      <c r="P20" s="3">
        <v>1</v>
      </c>
      <c r="Q20" s="3">
        <v>0</v>
      </c>
      <c r="R20" s="3">
        <v>0</v>
      </c>
      <c r="S20" s="3">
        <v>1</v>
      </c>
      <c r="T20" s="3">
        <v>0</v>
      </c>
      <c r="U20" s="3">
        <v>1</v>
      </c>
      <c r="V20" s="4">
        <v>3</v>
      </c>
      <c r="W20" s="4">
        <v>1</v>
      </c>
      <c r="X20" s="4">
        <v>2</v>
      </c>
      <c r="Y20" s="4">
        <v>2</v>
      </c>
      <c r="Z20" s="4">
        <v>2</v>
      </c>
      <c r="AA20" s="4">
        <v>1</v>
      </c>
      <c r="AB20" s="26">
        <v>3</v>
      </c>
      <c r="AC20" s="51"/>
      <c r="AD20" s="51"/>
    </row>
    <row r="21" spans="1:30" x14ac:dyDescent="0.25">
      <c r="A21" s="46" t="s">
        <v>136</v>
      </c>
      <c r="B21" s="16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2</v>
      </c>
      <c r="I21" s="3">
        <v>0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0</v>
      </c>
      <c r="V21" s="4">
        <v>1</v>
      </c>
      <c r="W21" s="4">
        <v>0</v>
      </c>
      <c r="X21" s="4">
        <v>2</v>
      </c>
      <c r="Y21" s="4">
        <v>2</v>
      </c>
      <c r="Z21" s="4">
        <v>1</v>
      </c>
      <c r="AA21" s="4">
        <v>1</v>
      </c>
      <c r="AB21" s="26">
        <v>4</v>
      </c>
      <c r="AC21" s="51"/>
      <c r="AD21" s="51"/>
    </row>
    <row r="22" spans="1:30" x14ac:dyDescent="0.25">
      <c r="A22" s="46" t="s">
        <v>137</v>
      </c>
      <c r="B22" s="16">
        <v>1</v>
      </c>
      <c r="C22" s="3">
        <v>1</v>
      </c>
      <c r="D22" s="3">
        <v>1</v>
      </c>
      <c r="E22" s="3">
        <v>1</v>
      </c>
      <c r="F22" s="3">
        <v>0</v>
      </c>
      <c r="G22" s="3">
        <v>1</v>
      </c>
      <c r="H22" s="3">
        <v>2</v>
      </c>
      <c r="I22" s="3">
        <v>1</v>
      </c>
      <c r="J22" s="3">
        <v>1</v>
      </c>
      <c r="K22" s="3">
        <v>0</v>
      </c>
      <c r="L22" s="3">
        <v>1</v>
      </c>
      <c r="M22" s="3">
        <v>1</v>
      </c>
      <c r="N22" s="3">
        <v>1</v>
      </c>
      <c r="O22" s="3">
        <v>0</v>
      </c>
      <c r="P22" s="3">
        <v>1</v>
      </c>
      <c r="Q22" s="3">
        <v>0</v>
      </c>
      <c r="R22" s="3">
        <v>1</v>
      </c>
      <c r="S22" s="3">
        <v>1</v>
      </c>
      <c r="T22" s="3">
        <v>1</v>
      </c>
      <c r="U22" s="3">
        <v>1</v>
      </c>
      <c r="V22" s="4">
        <v>3</v>
      </c>
      <c r="W22" s="4">
        <v>1</v>
      </c>
      <c r="X22" s="4">
        <v>2</v>
      </c>
      <c r="Y22" s="4">
        <v>0</v>
      </c>
      <c r="Z22" s="4">
        <v>2</v>
      </c>
      <c r="AA22" s="4">
        <v>1</v>
      </c>
      <c r="AB22" s="26">
        <v>1</v>
      </c>
      <c r="AC22" s="51"/>
      <c r="AD22" s="51"/>
    </row>
    <row r="23" spans="1:30" x14ac:dyDescent="0.25">
      <c r="A23" s="46" t="s">
        <v>138</v>
      </c>
      <c r="B23" s="16">
        <v>1</v>
      </c>
      <c r="C23" s="3">
        <v>1</v>
      </c>
      <c r="D23" s="3">
        <v>1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26">
        <v>0</v>
      </c>
      <c r="AC23" s="51"/>
      <c r="AD23" s="51"/>
    </row>
    <row r="24" spans="1:30" x14ac:dyDescent="0.25">
      <c r="A24" s="46" t="s">
        <v>139</v>
      </c>
      <c r="B24" s="16">
        <v>1</v>
      </c>
      <c r="C24" s="3">
        <v>1</v>
      </c>
      <c r="D24" s="3">
        <v>1</v>
      </c>
      <c r="E24" s="3">
        <v>1</v>
      </c>
      <c r="F24" s="3">
        <v>0</v>
      </c>
      <c r="G24" s="3">
        <v>1</v>
      </c>
      <c r="H24" s="3">
        <v>0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1</v>
      </c>
      <c r="Q24" s="3">
        <v>1</v>
      </c>
      <c r="R24" s="3">
        <v>1</v>
      </c>
      <c r="S24" s="3">
        <v>1</v>
      </c>
      <c r="T24" s="3">
        <v>0</v>
      </c>
      <c r="U24" s="3">
        <v>0</v>
      </c>
      <c r="V24" s="4">
        <v>2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26">
        <v>2</v>
      </c>
      <c r="AC24" s="51"/>
      <c r="AD24" s="51"/>
    </row>
    <row r="25" spans="1:30" x14ac:dyDescent="0.25">
      <c r="A25" s="46" t="s">
        <v>140</v>
      </c>
      <c r="B25" s="16">
        <v>1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  <c r="R25" s="3">
        <v>1</v>
      </c>
      <c r="S25" s="3">
        <v>1</v>
      </c>
      <c r="T25" s="3">
        <v>0</v>
      </c>
      <c r="U25" s="3">
        <v>0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1</v>
      </c>
      <c r="AB25" s="26">
        <v>2</v>
      </c>
      <c r="AC25" s="51"/>
      <c r="AD25" s="51"/>
    </row>
    <row r="26" spans="1:30" x14ac:dyDescent="0.25">
      <c r="A26" s="46" t="s">
        <v>141</v>
      </c>
      <c r="B26" s="16">
        <v>1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0</v>
      </c>
      <c r="I26" s="3">
        <v>1</v>
      </c>
      <c r="J26" s="3">
        <v>1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4">
        <v>0</v>
      </c>
      <c r="W26" s="4">
        <v>0</v>
      </c>
      <c r="X26" s="4">
        <v>0</v>
      </c>
      <c r="Y26" s="4">
        <v>0</v>
      </c>
      <c r="Z26" s="4">
        <v>1</v>
      </c>
      <c r="AA26" s="4">
        <v>0</v>
      </c>
      <c r="AB26" s="26">
        <v>2</v>
      </c>
      <c r="AC26" s="51"/>
      <c r="AD26" s="51"/>
    </row>
    <row r="27" spans="1:30" ht="15.75" thickBot="1" x14ac:dyDescent="0.3">
      <c r="A27" s="47" t="s">
        <v>142</v>
      </c>
      <c r="B27" s="28">
        <v>1</v>
      </c>
      <c r="C27" s="29">
        <v>1</v>
      </c>
      <c r="D27" s="29">
        <v>1</v>
      </c>
      <c r="E27" s="29">
        <v>1</v>
      </c>
      <c r="F27" s="29">
        <v>0</v>
      </c>
      <c r="G27" s="29">
        <v>1</v>
      </c>
      <c r="H27" s="29">
        <v>0</v>
      </c>
      <c r="I27" s="29">
        <v>1</v>
      </c>
      <c r="J27" s="29">
        <v>1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1</v>
      </c>
      <c r="V27" s="30">
        <v>3</v>
      </c>
      <c r="W27" s="30">
        <v>0</v>
      </c>
      <c r="X27" s="30">
        <v>1</v>
      </c>
      <c r="Y27" s="30">
        <v>0</v>
      </c>
      <c r="Z27" s="30">
        <v>2</v>
      </c>
      <c r="AA27" s="30">
        <v>0</v>
      </c>
      <c r="AB27" s="55">
        <v>3</v>
      </c>
      <c r="AC27" s="51"/>
      <c r="AD27" s="51"/>
    </row>
    <row r="28" spans="1:30" x14ac:dyDescent="0.25">
      <c r="A28" s="35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8"/>
      <c r="W28" s="38"/>
      <c r="X28" s="38"/>
      <c r="Y28" s="38"/>
      <c r="Z28" s="38"/>
      <c r="AA28" s="38"/>
      <c r="AB28" s="38"/>
      <c r="AC28" s="59"/>
      <c r="AD28" s="59"/>
    </row>
    <row r="29" spans="1:30" x14ac:dyDescent="0.25">
      <c r="A29" s="35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8"/>
      <c r="W29" s="38"/>
      <c r="X29" s="38"/>
      <c r="Y29" s="38"/>
      <c r="Z29" s="38"/>
      <c r="AA29" s="38"/>
      <c r="AB29" s="38"/>
      <c r="AC29" s="59"/>
      <c r="AD29" s="59"/>
    </row>
    <row r="30" spans="1:30" x14ac:dyDescent="0.25">
      <c r="A30" s="35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8"/>
      <c r="W30" s="38"/>
      <c r="X30" s="38"/>
      <c r="Y30" s="38"/>
      <c r="Z30" s="38"/>
      <c r="AA30" s="38"/>
      <c r="AB30" s="38"/>
      <c r="AC30" s="59"/>
      <c r="AD30" s="59"/>
    </row>
    <row r="31" spans="1:30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30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5" spans="1:28" x14ac:dyDescent="0.25">
      <c r="A35" s="49" t="s">
        <v>162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 spans="1:28" x14ac:dyDescent="0.25">
      <c r="A36" s="49" t="s">
        <v>163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 spans="1:28" ht="30" x14ac:dyDescent="0.25">
      <c r="A37" s="50" t="s">
        <v>164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 spans="1:28" ht="30" x14ac:dyDescent="0.25">
      <c r="A38" s="50" t="s">
        <v>165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44" spans="1:28" ht="15.75" thickBot="1" x14ac:dyDescent="0.3"/>
    <row r="45" spans="1:28" x14ac:dyDescent="0.25">
      <c r="A45" s="76"/>
      <c r="B45" s="79" t="s">
        <v>166</v>
      </c>
      <c r="C45" s="80"/>
      <c r="D45" s="80"/>
      <c r="E45" s="80"/>
      <c r="F45" s="81"/>
      <c r="G45" s="79" t="s">
        <v>168</v>
      </c>
      <c r="H45" s="80"/>
      <c r="I45" s="80"/>
      <c r="J45" s="80"/>
      <c r="K45" s="81"/>
      <c r="L45" s="82" t="s">
        <v>171</v>
      </c>
      <c r="M45" s="80"/>
      <c r="N45" s="80"/>
      <c r="O45" s="80"/>
      <c r="P45" s="69"/>
    </row>
    <row r="46" spans="1:28" x14ac:dyDescent="0.25">
      <c r="A46" s="77" t="s">
        <v>167</v>
      </c>
      <c r="B46" s="70" t="s">
        <v>6</v>
      </c>
      <c r="C46" s="65" t="s">
        <v>10</v>
      </c>
      <c r="D46" s="65" t="s">
        <v>7</v>
      </c>
      <c r="E46" s="65" t="s">
        <v>8</v>
      </c>
      <c r="F46" s="71" t="s">
        <v>9</v>
      </c>
      <c r="G46" s="70" t="str">
        <f>B46</f>
        <v>I</v>
      </c>
      <c r="H46" s="66" t="str">
        <f>C46</f>
        <v>II</v>
      </c>
      <c r="I46" s="66" t="str">
        <f>D46</f>
        <v>III</v>
      </c>
      <c r="J46" s="66" t="str">
        <f>E46</f>
        <v>IV</v>
      </c>
      <c r="K46" s="75" t="str">
        <f>F46</f>
        <v>V</v>
      </c>
      <c r="L46" s="70" t="str">
        <f>B46</f>
        <v>I</v>
      </c>
      <c r="M46" s="66" t="str">
        <f>C46</f>
        <v>II</v>
      </c>
      <c r="N46" s="66" t="str">
        <f>D46</f>
        <v>III</v>
      </c>
      <c r="O46" s="66" t="str">
        <f>E46</f>
        <v>IV</v>
      </c>
      <c r="P46" s="75" t="str">
        <f>F46</f>
        <v>V</v>
      </c>
    </row>
    <row r="47" spans="1:28" ht="15.75" thickBot="1" x14ac:dyDescent="0.3">
      <c r="A47" s="78" t="s">
        <v>170</v>
      </c>
      <c r="B47" s="72"/>
      <c r="C47" s="73"/>
      <c r="D47" s="73"/>
      <c r="E47" s="73"/>
      <c r="F47" s="74"/>
      <c r="G47" s="72"/>
      <c r="H47" s="73"/>
      <c r="I47" s="73"/>
      <c r="J47" s="73"/>
      <c r="K47" s="74"/>
      <c r="L47" s="72"/>
      <c r="M47" s="73"/>
      <c r="N47" s="73"/>
      <c r="O47" s="73"/>
      <c r="P47" s="74"/>
    </row>
    <row r="49" spans="2:6" ht="15.75" thickBot="1" x14ac:dyDescent="0.3"/>
    <row r="50" spans="2:6" x14ac:dyDescent="0.25">
      <c r="B50" s="91" t="s">
        <v>181</v>
      </c>
      <c r="C50" s="80"/>
      <c r="D50" s="68"/>
      <c r="E50" s="68"/>
      <c r="F50" s="69"/>
    </row>
    <row r="51" spans="2:6" x14ac:dyDescent="0.25">
      <c r="B51" s="86"/>
      <c r="C51" s="36"/>
      <c r="D51" s="36"/>
      <c r="E51" s="36"/>
      <c r="F51" s="83"/>
    </row>
    <row r="52" spans="2:6" x14ac:dyDescent="0.25">
      <c r="B52" s="89" t="s">
        <v>172</v>
      </c>
      <c r="C52" s="87"/>
      <c r="D52" s="87"/>
      <c r="E52" s="87"/>
      <c r="F52" s="90"/>
    </row>
    <row r="53" spans="2:6" x14ac:dyDescent="0.25">
      <c r="B53" s="89" t="s">
        <v>173</v>
      </c>
      <c r="C53" s="87"/>
      <c r="D53" s="87"/>
      <c r="E53" s="87"/>
      <c r="F53" s="90"/>
    </row>
    <row r="54" spans="2:6" x14ac:dyDescent="0.25">
      <c r="B54" s="89" t="s">
        <v>174</v>
      </c>
      <c r="C54" s="87"/>
      <c r="D54" s="87"/>
      <c r="E54" s="87"/>
      <c r="F54" s="90"/>
    </row>
    <row r="55" spans="2:6" x14ac:dyDescent="0.25">
      <c r="B55" s="89" t="s">
        <v>175</v>
      </c>
      <c r="C55" s="87"/>
      <c r="D55" s="87"/>
      <c r="E55" s="87"/>
      <c r="F55" s="90"/>
    </row>
    <row r="56" spans="2:6" x14ac:dyDescent="0.25">
      <c r="B56" s="89" t="s">
        <v>176</v>
      </c>
      <c r="C56" s="87"/>
      <c r="D56" s="87"/>
      <c r="E56" s="87"/>
      <c r="F56" s="90"/>
    </row>
    <row r="57" spans="2:6" x14ac:dyDescent="0.25">
      <c r="B57" s="89" t="s">
        <v>177</v>
      </c>
      <c r="C57" s="87"/>
      <c r="D57" s="87"/>
      <c r="E57" s="87"/>
      <c r="F57" s="90"/>
    </row>
    <row r="58" spans="2:6" x14ac:dyDescent="0.25">
      <c r="B58" s="89" t="s">
        <v>178</v>
      </c>
      <c r="C58" s="87"/>
      <c r="D58" s="87"/>
      <c r="E58" s="87"/>
      <c r="F58" s="90"/>
    </row>
    <row r="59" spans="2:6" x14ac:dyDescent="0.25">
      <c r="B59" s="89" t="s">
        <v>179</v>
      </c>
      <c r="C59" s="87"/>
      <c r="D59" s="87"/>
      <c r="E59" s="87"/>
      <c r="F59" s="90"/>
    </row>
    <row r="60" spans="2:6" ht="15.75" thickBot="1" x14ac:dyDescent="0.3">
      <c r="B60" s="88" t="s">
        <v>180</v>
      </c>
      <c r="C60" s="84"/>
      <c r="D60" s="84"/>
      <c r="E60" s="84"/>
      <c r="F60" s="8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9329-9625-401E-8586-229A8A9B87C9}">
  <dimension ref="A2:AO184"/>
  <sheetViews>
    <sheetView zoomScale="80" zoomScaleNormal="80" workbookViewId="0">
      <selection activeCell="B10" sqref="B10"/>
    </sheetView>
  </sheetViews>
  <sheetFormatPr defaultRowHeight="15" x14ac:dyDescent="0.25"/>
  <cols>
    <col min="12" max="12" width="24.28515625" bestFit="1" customWidth="1"/>
    <col min="13" max="13" width="9.42578125" bestFit="1" customWidth="1"/>
  </cols>
  <sheetData>
    <row r="2" spans="1:41" ht="15.75" thickBot="1" x14ac:dyDescent="0.3">
      <c r="A2" t="s">
        <v>182</v>
      </c>
    </row>
    <row r="3" spans="1:41" ht="15.75" thickBot="1" x14ac:dyDescent="0.3">
      <c r="A3" s="45" t="s">
        <v>11</v>
      </c>
      <c r="B3">
        <f>'KLASA A'!AC6</f>
        <v>35</v>
      </c>
    </row>
    <row r="4" spans="1:41" x14ac:dyDescent="0.25">
      <c r="A4" s="46" t="s">
        <v>12</v>
      </c>
      <c r="B4">
        <f>'KLASA A'!AC7</f>
        <v>16</v>
      </c>
      <c r="E4" s="91" t="s">
        <v>181</v>
      </c>
      <c r="F4" s="80"/>
      <c r="G4" s="68"/>
      <c r="H4" s="68"/>
      <c r="I4" s="69"/>
      <c r="L4" s="39" t="s">
        <v>0</v>
      </c>
      <c r="M4" s="9">
        <v>1</v>
      </c>
      <c r="N4" s="10">
        <v>2</v>
      </c>
      <c r="O4" s="10">
        <v>3</v>
      </c>
      <c r="P4" s="10">
        <v>4</v>
      </c>
      <c r="Q4" s="10">
        <v>5</v>
      </c>
      <c r="R4" s="10">
        <v>6</v>
      </c>
      <c r="S4" s="10">
        <v>7</v>
      </c>
      <c r="T4" s="10">
        <v>8</v>
      </c>
      <c r="U4" s="10">
        <v>9</v>
      </c>
      <c r="V4" s="10">
        <v>10</v>
      </c>
      <c r="W4" s="10">
        <v>11</v>
      </c>
      <c r="X4" s="10">
        <v>12</v>
      </c>
      <c r="Y4" s="10">
        <v>13</v>
      </c>
      <c r="Z4" s="10">
        <v>14</v>
      </c>
      <c r="AA4" s="10">
        <v>15</v>
      </c>
      <c r="AB4" s="10">
        <v>16</v>
      </c>
      <c r="AC4" s="10">
        <v>17</v>
      </c>
      <c r="AD4" s="10">
        <v>18</v>
      </c>
      <c r="AE4" s="10">
        <v>19</v>
      </c>
      <c r="AF4" s="10">
        <v>20</v>
      </c>
      <c r="AG4" s="40" t="s">
        <v>1</v>
      </c>
      <c r="AH4" s="40" t="s">
        <v>2</v>
      </c>
      <c r="AI4" s="40" t="s">
        <v>3</v>
      </c>
      <c r="AJ4" s="41" t="s">
        <v>4</v>
      </c>
      <c r="AK4" s="40">
        <v>23</v>
      </c>
      <c r="AL4" s="40">
        <v>24</v>
      </c>
      <c r="AM4" s="42">
        <v>25</v>
      </c>
    </row>
    <row r="5" spans="1:41" ht="15.75" thickBot="1" x14ac:dyDescent="0.3">
      <c r="A5" s="46" t="s">
        <v>13</v>
      </c>
      <c r="B5">
        <f>'KLASA A'!AC8</f>
        <v>34</v>
      </c>
      <c r="E5" s="86"/>
      <c r="F5" s="36"/>
      <c r="G5" s="36"/>
      <c r="H5" s="36"/>
      <c r="I5" s="83"/>
      <c r="L5" s="48" t="s">
        <v>5</v>
      </c>
      <c r="M5" s="101" t="s">
        <v>6</v>
      </c>
      <c r="N5" s="101" t="s">
        <v>6</v>
      </c>
      <c r="O5" s="101" t="s">
        <v>6</v>
      </c>
      <c r="P5" s="101" t="s">
        <v>6</v>
      </c>
      <c r="Q5" s="101" t="s">
        <v>7</v>
      </c>
      <c r="R5" s="101" t="s">
        <v>8</v>
      </c>
      <c r="S5" s="101" t="s">
        <v>8</v>
      </c>
      <c r="T5" s="101" t="s">
        <v>9</v>
      </c>
      <c r="U5" s="101" t="s">
        <v>9</v>
      </c>
      <c r="V5" s="101" t="s">
        <v>7</v>
      </c>
      <c r="W5" s="101" t="s">
        <v>7</v>
      </c>
      <c r="X5" s="101" t="s">
        <v>9</v>
      </c>
      <c r="Y5" s="101" t="s">
        <v>9</v>
      </c>
      <c r="Z5" s="101" t="s">
        <v>6</v>
      </c>
      <c r="AA5" s="101" t="s">
        <v>6</v>
      </c>
      <c r="AB5" s="101" t="s">
        <v>6</v>
      </c>
      <c r="AC5" s="101" t="s">
        <v>8</v>
      </c>
      <c r="AD5" s="101" t="s">
        <v>7</v>
      </c>
      <c r="AE5" s="101" t="s">
        <v>9</v>
      </c>
      <c r="AF5" s="101" t="s">
        <v>9</v>
      </c>
      <c r="AG5" s="102" t="s">
        <v>7</v>
      </c>
      <c r="AH5" s="102" t="s">
        <v>9</v>
      </c>
      <c r="AI5" s="102" t="s">
        <v>7</v>
      </c>
      <c r="AJ5" s="102" t="s">
        <v>9</v>
      </c>
      <c r="AK5" s="102" t="s">
        <v>6</v>
      </c>
      <c r="AL5" s="102" t="s">
        <v>6</v>
      </c>
      <c r="AM5" s="103" t="s">
        <v>10</v>
      </c>
    </row>
    <row r="6" spans="1:41" ht="15.75" thickBot="1" x14ac:dyDescent="0.3">
      <c r="A6" s="46" t="s">
        <v>14</v>
      </c>
      <c r="B6">
        <f>'KLASA A'!AC9</f>
        <v>18</v>
      </c>
      <c r="E6" s="89" t="s">
        <v>172</v>
      </c>
      <c r="F6" s="87"/>
      <c r="G6" s="87"/>
      <c r="H6" s="87"/>
      <c r="I6" s="90">
        <v>144</v>
      </c>
      <c r="L6" s="106" t="s">
        <v>120</v>
      </c>
      <c r="M6" s="107">
        <v>1</v>
      </c>
      <c r="N6" s="107">
        <v>1</v>
      </c>
      <c r="O6" s="107">
        <v>1</v>
      </c>
      <c r="P6" s="107">
        <v>1</v>
      </c>
      <c r="Q6" s="107">
        <v>1</v>
      </c>
      <c r="R6" s="107">
        <v>1</v>
      </c>
      <c r="S6" s="107">
        <v>2</v>
      </c>
      <c r="T6" s="107">
        <v>1</v>
      </c>
      <c r="U6" s="107">
        <v>1</v>
      </c>
      <c r="V6" s="107">
        <v>1</v>
      </c>
      <c r="W6" s="107">
        <v>1</v>
      </c>
      <c r="X6" s="107">
        <v>1</v>
      </c>
      <c r="Y6" s="107">
        <v>1</v>
      </c>
      <c r="Z6" s="107">
        <v>1</v>
      </c>
      <c r="AA6" s="107">
        <v>1</v>
      </c>
      <c r="AB6" s="107">
        <v>1</v>
      </c>
      <c r="AC6" s="107">
        <v>1</v>
      </c>
      <c r="AD6" s="107">
        <v>1</v>
      </c>
      <c r="AE6" s="107">
        <v>1</v>
      </c>
      <c r="AF6" s="107">
        <v>1</v>
      </c>
      <c r="AG6" s="108">
        <v>3</v>
      </c>
      <c r="AH6" s="108">
        <v>1</v>
      </c>
      <c r="AI6" s="108">
        <v>2</v>
      </c>
      <c r="AJ6" s="108">
        <v>2</v>
      </c>
      <c r="AK6" s="108">
        <v>2</v>
      </c>
      <c r="AL6" s="108">
        <v>1</v>
      </c>
      <c r="AM6" s="119">
        <v>8</v>
      </c>
      <c r="AN6" s="123" t="s">
        <v>162</v>
      </c>
      <c r="AO6" s="124" t="s">
        <v>163</v>
      </c>
    </row>
    <row r="7" spans="1:41" x14ac:dyDescent="0.25">
      <c r="A7" s="46" t="s">
        <v>15</v>
      </c>
      <c r="B7">
        <f>'KLASA A'!AC10</f>
        <v>11</v>
      </c>
      <c r="E7" s="89" t="s">
        <v>173</v>
      </c>
      <c r="F7" s="87"/>
      <c r="G7" s="87"/>
      <c r="H7" s="87"/>
      <c r="I7" s="90"/>
      <c r="L7" s="109" t="s">
        <v>183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20"/>
      <c r="AN7" s="125"/>
      <c r="AO7" s="111"/>
    </row>
    <row r="8" spans="1:41" x14ac:dyDescent="0.25">
      <c r="A8" s="46" t="s">
        <v>16</v>
      </c>
      <c r="B8">
        <f>'KLASA A'!AC11</f>
        <v>22</v>
      </c>
      <c r="E8" s="89" t="s">
        <v>174</v>
      </c>
      <c r="F8" s="87"/>
      <c r="G8" s="87"/>
      <c r="H8" s="87"/>
      <c r="I8" s="90"/>
      <c r="L8" s="104" t="s">
        <v>184</v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121"/>
      <c r="AN8" s="125"/>
      <c r="AO8" s="111"/>
    </row>
    <row r="9" spans="1:41" x14ac:dyDescent="0.25">
      <c r="A9" s="46" t="s">
        <v>17</v>
      </c>
      <c r="B9">
        <f>'KLASA A'!AC12</f>
        <v>24</v>
      </c>
      <c r="E9" s="89" t="s">
        <v>175</v>
      </c>
      <c r="F9" s="87"/>
      <c r="G9" s="87"/>
      <c r="H9" s="87"/>
      <c r="I9" s="90"/>
      <c r="L9" s="104" t="s">
        <v>185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121"/>
      <c r="AN9" s="125"/>
      <c r="AO9" s="111"/>
    </row>
    <row r="10" spans="1:41" x14ac:dyDescent="0.25">
      <c r="A10" s="46" t="s">
        <v>18</v>
      </c>
      <c r="B10">
        <f>'KLASA A'!AC13</f>
        <v>20</v>
      </c>
      <c r="E10" s="89" t="s">
        <v>176</v>
      </c>
      <c r="F10" s="87"/>
      <c r="G10" s="87"/>
      <c r="H10" s="87"/>
      <c r="I10" s="90"/>
      <c r="L10" s="104" t="s">
        <v>186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121"/>
      <c r="AN10" s="125"/>
      <c r="AO10" s="111"/>
    </row>
    <row r="11" spans="1:41" x14ac:dyDescent="0.25">
      <c r="A11" s="46" t="s">
        <v>19</v>
      </c>
      <c r="B11">
        <f>'KLASA A'!AC14</f>
        <v>17</v>
      </c>
      <c r="E11" s="89" t="s">
        <v>177</v>
      </c>
      <c r="F11" s="87"/>
      <c r="G11" s="87"/>
      <c r="H11" s="87"/>
      <c r="I11" s="90"/>
      <c r="L11" s="104" t="s">
        <v>187</v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121"/>
      <c r="AN11" s="125"/>
      <c r="AO11" s="111"/>
    </row>
    <row r="12" spans="1:41" ht="15.75" thickBot="1" x14ac:dyDescent="0.3">
      <c r="A12" s="46" t="s">
        <v>20</v>
      </c>
      <c r="B12">
        <f>'KLASA A'!AC15</f>
        <v>10</v>
      </c>
      <c r="E12" s="89" t="s">
        <v>178</v>
      </c>
      <c r="F12" s="87"/>
      <c r="G12" s="87"/>
      <c r="H12" s="87"/>
      <c r="I12" s="90"/>
      <c r="L12" s="105" t="s">
        <v>188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122"/>
      <c r="AN12" s="72"/>
      <c r="AO12" s="74"/>
    </row>
    <row r="13" spans="1:41" x14ac:dyDescent="0.25">
      <c r="A13" s="46" t="s">
        <v>21</v>
      </c>
      <c r="B13">
        <f>'KLASA A'!AC16</f>
        <v>24</v>
      </c>
      <c r="E13" s="89" t="s">
        <v>179</v>
      </c>
      <c r="F13" s="87"/>
      <c r="G13" s="87"/>
      <c r="H13" s="87"/>
      <c r="I13" s="90"/>
    </row>
    <row r="14" spans="1:41" ht="15.75" thickBot="1" x14ac:dyDescent="0.3">
      <c r="A14" s="46" t="s">
        <v>22</v>
      </c>
      <c r="B14">
        <f>'KLASA A'!AC17</f>
        <v>22</v>
      </c>
      <c r="E14" s="88" t="s">
        <v>180</v>
      </c>
      <c r="F14" s="84"/>
      <c r="G14" s="84"/>
      <c r="H14" s="84"/>
      <c r="I14" s="85"/>
    </row>
    <row r="15" spans="1:41" ht="15.75" thickBot="1" x14ac:dyDescent="0.3">
      <c r="A15" s="46" t="s">
        <v>23</v>
      </c>
      <c r="B15">
        <f>'KLASA A'!AC18</f>
        <v>19</v>
      </c>
    </row>
    <row r="16" spans="1:41" x14ac:dyDescent="0.25">
      <c r="A16" s="46" t="s">
        <v>24</v>
      </c>
      <c r="B16">
        <f>'KLASA A'!AC19</f>
        <v>23</v>
      </c>
      <c r="L16" s="109" t="s">
        <v>162</v>
      </c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3"/>
    </row>
    <row r="17" spans="1:39" x14ac:dyDescent="0.25">
      <c r="A17" s="46" t="s">
        <v>25</v>
      </c>
      <c r="B17">
        <f>'KLASA A'!AC20</f>
        <v>15</v>
      </c>
      <c r="L17" s="104" t="s">
        <v>163</v>
      </c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114"/>
    </row>
    <row r="18" spans="1:39" ht="30" x14ac:dyDescent="0.25">
      <c r="A18" s="46" t="s">
        <v>26</v>
      </c>
      <c r="B18">
        <f>'KLASA A'!AC21</f>
        <v>16</v>
      </c>
      <c r="L18" s="115" t="s">
        <v>164</v>
      </c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114"/>
    </row>
    <row r="19" spans="1:39" ht="15.75" thickBot="1" x14ac:dyDescent="0.3">
      <c r="A19" s="46" t="s">
        <v>27</v>
      </c>
      <c r="B19">
        <f>'KLASA A'!AC22</f>
        <v>33</v>
      </c>
      <c r="L19" s="116" t="s">
        <v>165</v>
      </c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8"/>
    </row>
    <row r="20" spans="1:39" x14ac:dyDescent="0.25">
      <c r="A20" s="46" t="s">
        <v>28</v>
      </c>
      <c r="B20">
        <f>'KLASA A'!AC23</f>
        <v>25</v>
      </c>
    </row>
    <row r="21" spans="1:39" x14ac:dyDescent="0.25">
      <c r="A21" s="46" t="s">
        <v>29</v>
      </c>
      <c r="B21">
        <f>'KLASA A'!AC24</f>
        <v>17</v>
      </c>
    </row>
    <row r="22" spans="1:39" ht="15.75" thickBot="1" x14ac:dyDescent="0.3">
      <c r="A22" s="46" t="s">
        <v>30</v>
      </c>
      <c r="B22">
        <f>'KLASA A'!AC25</f>
        <v>22</v>
      </c>
    </row>
    <row r="23" spans="1:39" ht="45" x14ac:dyDescent="0.25">
      <c r="A23" s="46" t="s">
        <v>31</v>
      </c>
      <c r="B23">
        <f>'KLASA A'!AC26</f>
        <v>29</v>
      </c>
      <c r="L23" s="126"/>
      <c r="M23" s="128" t="s">
        <v>194</v>
      </c>
      <c r="N23" s="129" t="s">
        <v>195</v>
      </c>
      <c r="O23" s="129" t="s">
        <v>196</v>
      </c>
      <c r="P23" s="130" t="s">
        <v>163</v>
      </c>
    </row>
    <row r="24" spans="1:39" x14ac:dyDescent="0.25">
      <c r="A24" s="46" t="s">
        <v>32</v>
      </c>
      <c r="B24">
        <f>'KLASA A'!AC27</f>
        <v>23</v>
      </c>
      <c r="L24" s="127" t="s">
        <v>189</v>
      </c>
      <c r="M24" s="131" t="s">
        <v>6</v>
      </c>
      <c r="N24" s="51"/>
      <c r="O24" s="51"/>
      <c r="P24" s="111"/>
    </row>
    <row r="25" spans="1:39" x14ac:dyDescent="0.25">
      <c r="A25" s="46" t="s">
        <v>33</v>
      </c>
      <c r="B25">
        <f>'KLASA A'!AC28</f>
        <v>12</v>
      </c>
      <c r="L25" s="127" t="s">
        <v>190</v>
      </c>
      <c r="M25" s="131" t="s">
        <v>10</v>
      </c>
      <c r="N25" s="51"/>
      <c r="O25" s="51"/>
      <c r="P25" s="111"/>
    </row>
    <row r="26" spans="1:39" x14ac:dyDescent="0.25">
      <c r="A26" s="46" t="s">
        <v>34</v>
      </c>
      <c r="B26">
        <f>'KLASA A'!AC29</f>
        <v>17</v>
      </c>
      <c r="L26" s="127" t="s">
        <v>191</v>
      </c>
      <c r="M26" s="131" t="s">
        <v>7</v>
      </c>
      <c r="N26" s="51"/>
      <c r="O26" s="51"/>
      <c r="P26" s="111"/>
    </row>
    <row r="27" spans="1:39" ht="15.75" thickBot="1" x14ac:dyDescent="0.3">
      <c r="A27" s="47" t="s">
        <v>35</v>
      </c>
      <c r="B27">
        <f>'KLASA A'!AC30</f>
        <v>31</v>
      </c>
      <c r="L27" s="127" t="s">
        <v>192</v>
      </c>
      <c r="M27" s="131" t="s">
        <v>8</v>
      </c>
      <c r="N27" s="51"/>
      <c r="O27" s="51"/>
      <c r="P27" s="111"/>
    </row>
    <row r="28" spans="1:39" ht="15.75" thickBot="1" x14ac:dyDescent="0.3">
      <c r="A28" s="36"/>
      <c r="L28" s="127" t="s">
        <v>193</v>
      </c>
      <c r="M28" s="132" t="s">
        <v>9</v>
      </c>
      <c r="N28" s="73"/>
      <c r="O28" s="73"/>
      <c r="P28" s="74"/>
    </row>
    <row r="29" spans="1:39" x14ac:dyDescent="0.25">
      <c r="A29" s="36"/>
    </row>
    <row r="30" spans="1:39" x14ac:dyDescent="0.25">
      <c r="A30" s="36"/>
    </row>
    <row r="31" spans="1:39" x14ac:dyDescent="0.25">
      <c r="A31" s="36"/>
    </row>
    <row r="32" spans="1:39" x14ac:dyDescent="0.25">
      <c r="A32" s="36"/>
    </row>
    <row r="33" spans="1:2" x14ac:dyDescent="0.25">
      <c r="A33" s="36"/>
    </row>
    <row r="34" spans="1:2" ht="15.75" thickBot="1" x14ac:dyDescent="0.3">
      <c r="A34" s="36"/>
    </row>
    <row r="35" spans="1:2" x14ac:dyDescent="0.25">
      <c r="A35" s="45" t="s">
        <v>38</v>
      </c>
      <c r="B35">
        <f>'KLASA B'!AC6</f>
        <v>14</v>
      </c>
    </row>
    <row r="36" spans="1:2" x14ac:dyDescent="0.25">
      <c r="A36" s="46" t="s">
        <v>39</v>
      </c>
      <c r="B36">
        <f>'KLASA B'!AC7</f>
        <v>19</v>
      </c>
    </row>
    <row r="37" spans="1:2" x14ac:dyDescent="0.25">
      <c r="A37" s="46" t="s">
        <v>40</v>
      </c>
      <c r="B37">
        <f>'KLASA B'!AC8</f>
        <v>14</v>
      </c>
    </row>
    <row r="38" spans="1:2" x14ac:dyDescent="0.25">
      <c r="A38" s="46" t="s">
        <v>41</v>
      </c>
      <c r="B38">
        <f>'KLASA B'!AC9</f>
        <v>21</v>
      </c>
    </row>
    <row r="39" spans="1:2" x14ac:dyDescent="0.25">
      <c r="A39" s="46" t="s">
        <v>42</v>
      </c>
      <c r="B39">
        <f>'KLASA B'!AC10</f>
        <v>26</v>
      </c>
    </row>
    <row r="40" spans="1:2" x14ac:dyDescent="0.25">
      <c r="A40" s="46" t="s">
        <v>43</v>
      </c>
      <c r="B40">
        <f>'KLASA B'!AC11</f>
        <v>31</v>
      </c>
    </row>
    <row r="41" spans="1:2" x14ac:dyDescent="0.25">
      <c r="A41" s="46" t="s">
        <v>44</v>
      </c>
      <c r="B41">
        <f>'KLASA B'!AC12</f>
        <v>14</v>
      </c>
    </row>
    <row r="42" spans="1:2" x14ac:dyDescent="0.25">
      <c r="A42" s="46" t="s">
        <v>45</v>
      </c>
      <c r="B42">
        <f>'KLASA B'!AC13</f>
        <v>22</v>
      </c>
    </row>
    <row r="43" spans="1:2" x14ac:dyDescent="0.25">
      <c r="A43" s="46" t="s">
        <v>46</v>
      </c>
      <c r="B43">
        <f>'KLASA B'!AC14</f>
        <v>22</v>
      </c>
    </row>
    <row r="44" spans="1:2" x14ac:dyDescent="0.25">
      <c r="A44" s="46" t="s">
        <v>47</v>
      </c>
      <c r="B44">
        <f>'KLASA B'!AC15</f>
        <v>10</v>
      </c>
    </row>
    <row r="45" spans="1:2" x14ac:dyDescent="0.25">
      <c r="A45" s="46" t="s">
        <v>48</v>
      </c>
      <c r="B45">
        <f>'KLASA B'!AC16</f>
        <v>27</v>
      </c>
    </row>
    <row r="46" spans="1:2" x14ac:dyDescent="0.25">
      <c r="A46" s="46" t="s">
        <v>49</v>
      </c>
      <c r="B46">
        <f>'KLASA B'!AC17</f>
        <v>23</v>
      </c>
    </row>
    <row r="47" spans="1:2" x14ac:dyDescent="0.25">
      <c r="A47" s="46" t="s">
        <v>50</v>
      </c>
      <c r="B47">
        <f>'KLASA B'!AC18</f>
        <v>33</v>
      </c>
    </row>
    <row r="48" spans="1:2" x14ac:dyDescent="0.25">
      <c r="A48" s="46" t="s">
        <v>51</v>
      </c>
      <c r="B48">
        <f>'KLASA B'!AC19</f>
        <v>23</v>
      </c>
    </row>
    <row r="49" spans="1:2" x14ac:dyDescent="0.25">
      <c r="A49" s="46" t="s">
        <v>52</v>
      </c>
      <c r="B49">
        <f>'KLASA B'!AC20</f>
        <v>33</v>
      </c>
    </row>
    <row r="50" spans="1:2" x14ac:dyDescent="0.25">
      <c r="A50" s="46" t="s">
        <v>53</v>
      </c>
      <c r="B50">
        <f>'KLASA B'!AC21</f>
        <v>22</v>
      </c>
    </row>
    <row r="51" spans="1:2" x14ac:dyDescent="0.25">
      <c r="A51" s="46" t="s">
        <v>54</v>
      </c>
      <c r="B51">
        <f>'KLASA B'!AC22</f>
        <v>32</v>
      </c>
    </row>
    <row r="52" spans="1:2" x14ac:dyDescent="0.25">
      <c r="A52" s="46" t="s">
        <v>55</v>
      </c>
      <c r="B52">
        <f>'KLASA B'!AC23</f>
        <v>23</v>
      </c>
    </row>
    <row r="53" spans="1:2" x14ac:dyDescent="0.25">
      <c r="A53" s="46" t="s">
        <v>56</v>
      </c>
      <c r="B53">
        <f>'KLASA B'!AC24</f>
        <v>24</v>
      </c>
    </row>
    <row r="54" spans="1:2" x14ac:dyDescent="0.25">
      <c r="A54" s="46" t="s">
        <v>57</v>
      </c>
      <c r="B54">
        <f>'KLASA B'!AC25</f>
        <v>24</v>
      </c>
    </row>
    <row r="55" spans="1:2" x14ac:dyDescent="0.25">
      <c r="A55" s="46" t="s">
        <v>58</v>
      </c>
      <c r="B55">
        <f>'KLASA B'!AC26</f>
        <v>18</v>
      </c>
    </row>
    <row r="56" spans="1:2" x14ac:dyDescent="0.25">
      <c r="A56" s="46" t="s">
        <v>59</v>
      </c>
      <c r="B56">
        <f>'KLASA B'!AC27</f>
        <v>25</v>
      </c>
    </row>
    <row r="57" spans="1:2" x14ac:dyDescent="0.25">
      <c r="A57" s="46" t="s">
        <v>60</v>
      </c>
      <c r="B57">
        <f>'KLASA B'!AC28</f>
        <v>10</v>
      </c>
    </row>
    <row r="58" spans="1:2" x14ac:dyDescent="0.25">
      <c r="A58" s="46" t="s">
        <v>61</v>
      </c>
      <c r="B58">
        <f>'KLASA B'!AC29</f>
        <v>12</v>
      </c>
    </row>
    <row r="59" spans="1:2" x14ac:dyDescent="0.25">
      <c r="A59" s="46" t="s">
        <v>62</v>
      </c>
      <c r="B59">
        <f>'KLASA B'!AC30</f>
        <v>28</v>
      </c>
    </row>
    <row r="60" spans="1:2" ht="15.75" thickBot="1" x14ac:dyDescent="0.3">
      <c r="A60" s="47" t="s">
        <v>63</v>
      </c>
      <c r="B60">
        <f>'KLASA B'!AC31</f>
        <v>16</v>
      </c>
    </row>
    <row r="61" spans="1:2" x14ac:dyDescent="0.25">
      <c r="A61" s="36"/>
    </row>
    <row r="62" spans="1:2" x14ac:dyDescent="0.25">
      <c r="A62" s="36"/>
    </row>
    <row r="63" spans="1:2" x14ac:dyDescent="0.25">
      <c r="A63" s="36"/>
    </row>
    <row r="64" spans="1:2" x14ac:dyDescent="0.25">
      <c r="A64" s="36"/>
    </row>
    <row r="65" spans="1:2" x14ac:dyDescent="0.25">
      <c r="A65" s="36"/>
    </row>
    <row r="66" spans="1:2" ht="15.75" thickBot="1" x14ac:dyDescent="0.3">
      <c r="A66" s="36"/>
    </row>
    <row r="67" spans="1:2" x14ac:dyDescent="0.25">
      <c r="A67" s="45" t="s">
        <v>65</v>
      </c>
      <c r="B67">
        <f>'KLASA C'!AC6</f>
        <v>0</v>
      </c>
    </row>
    <row r="68" spans="1:2" x14ac:dyDescent="0.25">
      <c r="A68" s="46" t="s">
        <v>66</v>
      </c>
      <c r="B68">
        <f>'KLASA C'!AC7</f>
        <v>0</v>
      </c>
    </row>
    <row r="69" spans="1:2" x14ac:dyDescent="0.25">
      <c r="A69" s="46" t="s">
        <v>67</v>
      </c>
      <c r="B69">
        <f>'KLASA C'!AC8</f>
        <v>0</v>
      </c>
    </row>
    <row r="70" spans="1:2" x14ac:dyDescent="0.25">
      <c r="A70" s="46" t="s">
        <v>68</v>
      </c>
      <c r="B70">
        <f>'KLASA C'!AC9</f>
        <v>0</v>
      </c>
    </row>
    <row r="71" spans="1:2" x14ac:dyDescent="0.25">
      <c r="A71" s="46" t="s">
        <v>69</v>
      </c>
      <c r="B71">
        <f>'KLASA C'!AC10</f>
        <v>0</v>
      </c>
    </row>
    <row r="72" spans="1:2" x14ac:dyDescent="0.25">
      <c r="A72" s="46" t="s">
        <v>70</v>
      </c>
      <c r="B72">
        <f>'KLASA C'!AC11</f>
        <v>0</v>
      </c>
    </row>
    <row r="73" spans="1:2" x14ac:dyDescent="0.25">
      <c r="A73" s="46" t="s">
        <v>71</v>
      </c>
      <c r="B73">
        <f>'KLASA C'!AC12</f>
        <v>0</v>
      </c>
    </row>
    <row r="74" spans="1:2" x14ac:dyDescent="0.25">
      <c r="A74" s="46" t="s">
        <v>72</v>
      </c>
      <c r="B74">
        <f>'KLASA C'!AC13</f>
        <v>0</v>
      </c>
    </row>
    <row r="75" spans="1:2" x14ac:dyDescent="0.25">
      <c r="A75" s="46" t="s">
        <v>73</v>
      </c>
      <c r="B75">
        <f>'KLASA C'!AC14</f>
        <v>0</v>
      </c>
    </row>
    <row r="76" spans="1:2" x14ac:dyDescent="0.25">
      <c r="A76" s="46" t="s">
        <v>74</v>
      </c>
      <c r="B76">
        <f>'KLASA C'!AC15</f>
        <v>0</v>
      </c>
    </row>
    <row r="77" spans="1:2" x14ac:dyDescent="0.25">
      <c r="A77" s="46" t="s">
        <v>75</v>
      </c>
      <c r="B77">
        <f>'KLASA C'!AC16</f>
        <v>0</v>
      </c>
    </row>
    <row r="78" spans="1:2" x14ac:dyDescent="0.25">
      <c r="A78" s="46" t="s">
        <v>76</v>
      </c>
      <c r="B78">
        <f>'KLASA C'!AC17</f>
        <v>0</v>
      </c>
    </row>
    <row r="79" spans="1:2" x14ac:dyDescent="0.25">
      <c r="A79" s="46" t="s">
        <v>77</v>
      </c>
      <c r="B79">
        <f>'KLASA C'!AC18</f>
        <v>0</v>
      </c>
    </row>
    <row r="80" spans="1:2" x14ac:dyDescent="0.25">
      <c r="A80" s="46" t="s">
        <v>78</v>
      </c>
      <c r="B80">
        <f>'KLASA C'!AC19</f>
        <v>0</v>
      </c>
    </row>
    <row r="81" spans="1:2" x14ac:dyDescent="0.25">
      <c r="A81" s="46" t="s">
        <v>79</v>
      </c>
      <c r="B81">
        <f>'KLASA C'!AC20</f>
        <v>0</v>
      </c>
    </row>
    <row r="82" spans="1:2" x14ac:dyDescent="0.25">
      <c r="A82" s="46" t="s">
        <v>80</v>
      </c>
      <c r="B82">
        <f>'KLASA C'!AC21</f>
        <v>0</v>
      </c>
    </row>
    <row r="83" spans="1:2" x14ac:dyDescent="0.25">
      <c r="A83" s="46" t="s">
        <v>81</v>
      </c>
      <c r="B83">
        <f>'KLASA C'!AC22</f>
        <v>0</v>
      </c>
    </row>
    <row r="84" spans="1:2" x14ac:dyDescent="0.25">
      <c r="A84" s="46" t="s">
        <v>82</v>
      </c>
      <c r="B84">
        <f>'KLASA C'!AC23</f>
        <v>0</v>
      </c>
    </row>
    <row r="85" spans="1:2" x14ac:dyDescent="0.25">
      <c r="A85" s="46" t="s">
        <v>83</v>
      </c>
      <c r="B85">
        <f>'KLASA C'!AC24</f>
        <v>0</v>
      </c>
    </row>
    <row r="86" spans="1:2" x14ac:dyDescent="0.25">
      <c r="A86" s="46" t="s">
        <v>84</v>
      </c>
      <c r="B86">
        <f>'KLASA C'!AC25</f>
        <v>0</v>
      </c>
    </row>
    <row r="87" spans="1:2" x14ac:dyDescent="0.25">
      <c r="A87" s="46" t="s">
        <v>85</v>
      </c>
      <c r="B87">
        <f>'KLASA C'!AC26</f>
        <v>0</v>
      </c>
    </row>
    <row r="88" spans="1:2" x14ac:dyDescent="0.25">
      <c r="A88" s="46" t="s">
        <v>86</v>
      </c>
      <c r="B88">
        <f>'KLASA C'!AC27</f>
        <v>0</v>
      </c>
    </row>
    <row r="89" spans="1:2" x14ac:dyDescent="0.25">
      <c r="A89" s="46" t="s">
        <v>87</v>
      </c>
      <c r="B89">
        <f>'KLASA C'!AC28</f>
        <v>0</v>
      </c>
    </row>
    <row r="90" spans="1:2" x14ac:dyDescent="0.25">
      <c r="A90" s="46" t="s">
        <v>88</v>
      </c>
      <c r="B90">
        <f>'KLASA C'!AC29</f>
        <v>0</v>
      </c>
    </row>
    <row r="91" spans="1:2" x14ac:dyDescent="0.25">
      <c r="A91" s="46" t="s">
        <v>89</v>
      </c>
      <c r="B91">
        <f>'KLASA C'!AC30</f>
        <v>0</v>
      </c>
    </row>
    <row r="92" spans="1:2" x14ac:dyDescent="0.25">
      <c r="A92" s="46" t="s">
        <v>90</v>
      </c>
      <c r="B92">
        <f>'KLASA C'!AC31</f>
        <v>0</v>
      </c>
    </row>
    <row r="93" spans="1:2" ht="15.75" thickBot="1" x14ac:dyDescent="0.3">
      <c r="A93" s="47" t="s">
        <v>91</v>
      </c>
      <c r="B93">
        <f>'KLASA C'!AC32</f>
        <v>0</v>
      </c>
    </row>
    <row r="94" spans="1:2" x14ac:dyDescent="0.25">
      <c r="A94" s="36"/>
    </row>
    <row r="95" spans="1:2" x14ac:dyDescent="0.25">
      <c r="A95" s="36"/>
    </row>
    <row r="96" spans="1:2" x14ac:dyDescent="0.25">
      <c r="A96" s="36"/>
    </row>
    <row r="97" spans="1:2" x14ac:dyDescent="0.25">
      <c r="A97" s="36"/>
    </row>
    <row r="98" spans="1:2" ht="15.75" thickBot="1" x14ac:dyDescent="0.3">
      <c r="A98" s="36"/>
    </row>
    <row r="99" spans="1:2" x14ac:dyDescent="0.25">
      <c r="A99" s="45" t="s">
        <v>93</v>
      </c>
      <c r="B99">
        <f>'KLASA D'!AC6</f>
        <v>0</v>
      </c>
    </row>
    <row r="100" spans="1:2" x14ac:dyDescent="0.25">
      <c r="A100" s="46" t="s">
        <v>94</v>
      </c>
      <c r="B100">
        <f>'KLASA D'!AC7</f>
        <v>0</v>
      </c>
    </row>
    <row r="101" spans="1:2" x14ac:dyDescent="0.25">
      <c r="A101" s="46" t="s">
        <v>95</v>
      </c>
      <c r="B101">
        <f>'KLASA D'!AC8</f>
        <v>0</v>
      </c>
    </row>
    <row r="102" spans="1:2" x14ac:dyDescent="0.25">
      <c r="A102" s="46" t="s">
        <v>96</v>
      </c>
      <c r="B102">
        <f>'KLASA D'!AC9</f>
        <v>0</v>
      </c>
    </row>
    <row r="103" spans="1:2" x14ac:dyDescent="0.25">
      <c r="A103" s="46" t="s">
        <v>97</v>
      </c>
      <c r="B103">
        <f>'KLASA D'!AC10</f>
        <v>0</v>
      </c>
    </row>
    <row r="104" spans="1:2" x14ac:dyDescent="0.25">
      <c r="A104" s="46" t="s">
        <v>98</v>
      </c>
      <c r="B104">
        <f>'KLASA D'!AC11</f>
        <v>0</v>
      </c>
    </row>
    <row r="105" spans="1:2" x14ac:dyDescent="0.25">
      <c r="A105" s="46" t="s">
        <v>99</v>
      </c>
      <c r="B105">
        <f>'KLASA D'!AC12</f>
        <v>0</v>
      </c>
    </row>
    <row r="106" spans="1:2" x14ac:dyDescent="0.25">
      <c r="A106" s="46" t="s">
        <v>100</v>
      </c>
      <c r="B106">
        <f>'KLASA D'!AC13</f>
        <v>0</v>
      </c>
    </row>
    <row r="107" spans="1:2" x14ac:dyDescent="0.25">
      <c r="A107" s="46" t="s">
        <v>101</v>
      </c>
      <c r="B107">
        <f>'KLASA D'!AC14</f>
        <v>0</v>
      </c>
    </row>
    <row r="108" spans="1:2" x14ac:dyDescent="0.25">
      <c r="A108" s="46" t="s">
        <v>102</v>
      </c>
      <c r="B108">
        <f>'KLASA D'!AC15</f>
        <v>0</v>
      </c>
    </row>
    <row r="109" spans="1:2" x14ac:dyDescent="0.25">
      <c r="A109" s="46" t="s">
        <v>103</v>
      </c>
      <c r="B109">
        <f>'KLASA D'!AC16</f>
        <v>0</v>
      </c>
    </row>
    <row r="110" spans="1:2" x14ac:dyDescent="0.25">
      <c r="A110" s="46" t="s">
        <v>104</v>
      </c>
      <c r="B110">
        <f>'KLASA D'!AC17</f>
        <v>0</v>
      </c>
    </row>
    <row r="111" spans="1:2" x14ac:dyDescent="0.25">
      <c r="A111" s="46" t="s">
        <v>105</v>
      </c>
      <c r="B111">
        <f>'KLASA D'!AC18</f>
        <v>0</v>
      </c>
    </row>
    <row r="112" spans="1:2" x14ac:dyDescent="0.25">
      <c r="A112" s="46" t="s">
        <v>106</v>
      </c>
      <c r="B112">
        <f>'KLASA D'!AC19</f>
        <v>0</v>
      </c>
    </row>
    <row r="113" spans="1:2" x14ac:dyDescent="0.25">
      <c r="A113" s="46" t="s">
        <v>107</v>
      </c>
      <c r="B113">
        <f>'KLASA D'!AC20</f>
        <v>0</v>
      </c>
    </row>
    <row r="114" spans="1:2" x14ac:dyDescent="0.25">
      <c r="A114" s="46" t="s">
        <v>108</v>
      </c>
      <c r="B114">
        <f>'KLASA D'!AC21</f>
        <v>0</v>
      </c>
    </row>
    <row r="115" spans="1:2" x14ac:dyDescent="0.25">
      <c r="A115" s="46" t="s">
        <v>109</v>
      </c>
      <c r="B115">
        <f>'KLASA D'!AC22</f>
        <v>0</v>
      </c>
    </row>
    <row r="116" spans="1:2" x14ac:dyDescent="0.25">
      <c r="A116" s="46" t="s">
        <v>110</v>
      </c>
      <c r="B116">
        <f>'KLASA D'!AC23</f>
        <v>0</v>
      </c>
    </row>
    <row r="117" spans="1:2" x14ac:dyDescent="0.25">
      <c r="A117" s="46" t="s">
        <v>111</v>
      </c>
      <c r="B117">
        <f>'KLASA D'!AC24</f>
        <v>0</v>
      </c>
    </row>
    <row r="118" spans="1:2" x14ac:dyDescent="0.25">
      <c r="A118" s="46" t="s">
        <v>112</v>
      </c>
      <c r="B118">
        <f>'KLASA D'!AC25</f>
        <v>0</v>
      </c>
    </row>
    <row r="119" spans="1:2" x14ac:dyDescent="0.25">
      <c r="A119" s="46" t="s">
        <v>113</v>
      </c>
      <c r="B119">
        <f>'KLASA D'!AC26</f>
        <v>0</v>
      </c>
    </row>
    <row r="120" spans="1:2" x14ac:dyDescent="0.25">
      <c r="A120" s="46" t="s">
        <v>114</v>
      </c>
      <c r="B120">
        <f>'KLASA D'!AC27</f>
        <v>0</v>
      </c>
    </row>
    <row r="121" spans="1:2" x14ac:dyDescent="0.25">
      <c r="A121" s="46" t="s">
        <v>115</v>
      </c>
      <c r="B121">
        <f>'KLASA D'!AC28</f>
        <v>0</v>
      </c>
    </row>
    <row r="122" spans="1:2" x14ac:dyDescent="0.25">
      <c r="A122" s="46" t="s">
        <v>116</v>
      </c>
      <c r="B122">
        <f>'KLASA D'!AC29</f>
        <v>0</v>
      </c>
    </row>
    <row r="123" spans="1:2" ht="15.75" thickBot="1" x14ac:dyDescent="0.3">
      <c r="A123" s="47" t="s">
        <v>117</v>
      </c>
      <c r="B123">
        <f>'KLASA D'!AC30</f>
        <v>0</v>
      </c>
    </row>
    <row r="124" spans="1:2" x14ac:dyDescent="0.25">
      <c r="A124" s="36"/>
    </row>
    <row r="125" spans="1:2" x14ac:dyDescent="0.25">
      <c r="A125" s="36"/>
    </row>
    <row r="126" spans="1:2" x14ac:dyDescent="0.25">
      <c r="A126" s="36"/>
    </row>
    <row r="127" spans="1:2" x14ac:dyDescent="0.25">
      <c r="A127" s="36"/>
    </row>
    <row r="128" spans="1:2" x14ac:dyDescent="0.25">
      <c r="A128" s="36"/>
    </row>
    <row r="129" spans="1:2" x14ac:dyDescent="0.25">
      <c r="A129" s="36"/>
    </row>
    <row r="130" spans="1:2" ht="15.75" thickBot="1" x14ac:dyDescent="0.3">
      <c r="A130" s="36"/>
    </row>
    <row r="131" spans="1:2" x14ac:dyDescent="0.25">
      <c r="A131" s="45" t="s">
        <v>143</v>
      </c>
      <c r="B131">
        <f>'KLASA E'!AC7</f>
        <v>0</v>
      </c>
    </row>
    <row r="132" spans="1:2" x14ac:dyDescent="0.25">
      <c r="A132" s="46" t="s">
        <v>144</v>
      </c>
      <c r="B132">
        <f>'KLASA E'!AC8</f>
        <v>0</v>
      </c>
    </row>
    <row r="133" spans="1:2" x14ac:dyDescent="0.25">
      <c r="A133" s="46" t="s">
        <v>145</v>
      </c>
      <c r="B133">
        <f>'KLASA E'!AC9</f>
        <v>0</v>
      </c>
    </row>
    <row r="134" spans="1:2" x14ac:dyDescent="0.25">
      <c r="A134" s="46" t="s">
        <v>146</v>
      </c>
      <c r="B134">
        <f>'KLASA E'!AC10</f>
        <v>0</v>
      </c>
    </row>
    <row r="135" spans="1:2" x14ac:dyDescent="0.25">
      <c r="A135" s="46" t="s">
        <v>147</v>
      </c>
      <c r="B135">
        <f>'KLASA E'!AC11</f>
        <v>0</v>
      </c>
    </row>
    <row r="136" spans="1:2" x14ac:dyDescent="0.25">
      <c r="A136" s="46" t="s">
        <v>148</v>
      </c>
      <c r="B136">
        <f>'KLASA E'!AC12</f>
        <v>0</v>
      </c>
    </row>
    <row r="137" spans="1:2" x14ac:dyDescent="0.25">
      <c r="A137" s="46" t="s">
        <v>149</v>
      </c>
      <c r="B137">
        <f>'KLASA E'!AC13</f>
        <v>0</v>
      </c>
    </row>
    <row r="138" spans="1:2" x14ac:dyDescent="0.25">
      <c r="A138" s="46" t="s">
        <v>150</v>
      </c>
      <c r="B138">
        <f>'KLASA E'!AC14</f>
        <v>0</v>
      </c>
    </row>
    <row r="139" spans="1:2" x14ac:dyDescent="0.25">
      <c r="A139" s="46" t="s">
        <v>151</v>
      </c>
      <c r="B139">
        <f>'KLASA E'!AC15</f>
        <v>0</v>
      </c>
    </row>
    <row r="140" spans="1:2" x14ac:dyDescent="0.25">
      <c r="A140" s="46" t="s">
        <v>152</v>
      </c>
      <c r="B140">
        <f>'KLASA E'!AC16</f>
        <v>0</v>
      </c>
    </row>
    <row r="141" spans="1:2" x14ac:dyDescent="0.25">
      <c r="A141" s="46" t="s">
        <v>153</v>
      </c>
      <c r="B141">
        <f>'KLASA E'!AC17</f>
        <v>0</v>
      </c>
    </row>
    <row r="142" spans="1:2" x14ac:dyDescent="0.25">
      <c r="A142" s="46" t="s">
        <v>154</v>
      </c>
      <c r="B142">
        <f>'KLASA E'!AC18</f>
        <v>0</v>
      </c>
    </row>
    <row r="143" spans="1:2" x14ac:dyDescent="0.25">
      <c r="A143" s="46" t="s">
        <v>155</v>
      </c>
      <c r="B143">
        <f>'KLASA E'!AC19</f>
        <v>0</v>
      </c>
    </row>
    <row r="144" spans="1:2" x14ac:dyDescent="0.25">
      <c r="A144" s="46" t="s">
        <v>156</v>
      </c>
      <c r="B144">
        <f>'KLASA E'!AC20</f>
        <v>0</v>
      </c>
    </row>
    <row r="145" spans="1:2" x14ac:dyDescent="0.25">
      <c r="A145" s="46" t="s">
        <v>157</v>
      </c>
      <c r="B145">
        <f>'KLASA E'!AC21</f>
        <v>0</v>
      </c>
    </row>
    <row r="146" spans="1:2" x14ac:dyDescent="0.25">
      <c r="A146" s="46" t="s">
        <v>158</v>
      </c>
      <c r="B146">
        <f>'KLASA E'!AC22</f>
        <v>0</v>
      </c>
    </row>
    <row r="147" spans="1:2" x14ac:dyDescent="0.25">
      <c r="A147" s="46" t="s">
        <v>159</v>
      </c>
      <c r="B147">
        <f>'KLASA E'!AC23</f>
        <v>0</v>
      </c>
    </row>
    <row r="148" spans="1:2" x14ac:dyDescent="0.25">
      <c r="A148" s="46" t="s">
        <v>160</v>
      </c>
      <c r="B148">
        <f>'KLASA E'!AC24</f>
        <v>0</v>
      </c>
    </row>
    <row r="149" spans="1:2" x14ac:dyDescent="0.25">
      <c r="A149" s="46" t="s">
        <v>161</v>
      </c>
      <c r="B149">
        <f>'KLASA E'!AC25</f>
        <v>0</v>
      </c>
    </row>
    <row r="150" spans="1:2" x14ac:dyDescent="0.25">
      <c r="A150" s="36"/>
    </row>
    <row r="151" spans="1:2" x14ac:dyDescent="0.25">
      <c r="A151" s="36"/>
    </row>
    <row r="152" spans="1:2" x14ac:dyDescent="0.25">
      <c r="A152" s="36"/>
    </row>
    <row r="153" spans="1:2" x14ac:dyDescent="0.25">
      <c r="A153" s="36"/>
    </row>
    <row r="154" spans="1:2" x14ac:dyDescent="0.25">
      <c r="A154" s="36"/>
    </row>
    <row r="155" spans="1:2" x14ac:dyDescent="0.25">
      <c r="A155" s="36"/>
    </row>
    <row r="156" spans="1:2" x14ac:dyDescent="0.25">
      <c r="A156" s="36"/>
    </row>
    <row r="157" spans="1:2" x14ac:dyDescent="0.25">
      <c r="A157" s="36"/>
    </row>
    <row r="158" spans="1:2" x14ac:dyDescent="0.25">
      <c r="A158" s="36"/>
    </row>
    <row r="159" spans="1:2" x14ac:dyDescent="0.25">
      <c r="A159" s="36"/>
    </row>
    <row r="160" spans="1:2" x14ac:dyDescent="0.25">
      <c r="A160" s="36"/>
    </row>
    <row r="161" spans="1:2" x14ac:dyDescent="0.25">
      <c r="A161" s="36"/>
    </row>
    <row r="162" spans="1:2" ht="15.75" thickBot="1" x14ac:dyDescent="0.3">
      <c r="A162" s="36"/>
    </row>
    <row r="163" spans="1:2" x14ac:dyDescent="0.25">
      <c r="A163" s="45" t="s">
        <v>121</v>
      </c>
      <c r="B163">
        <f>'KLASA F'!AC6</f>
        <v>0</v>
      </c>
    </row>
    <row r="164" spans="1:2" x14ac:dyDescent="0.25">
      <c r="A164" s="46" t="s">
        <v>122</v>
      </c>
      <c r="B164">
        <f>'KLASA F'!AC7</f>
        <v>0</v>
      </c>
    </row>
    <row r="165" spans="1:2" x14ac:dyDescent="0.25">
      <c r="A165" s="46" t="s">
        <v>123</v>
      </c>
      <c r="B165">
        <f>'KLASA F'!AC8</f>
        <v>0</v>
      </c>
    </row>
    <row r="166" spans="1:2" x14ac:dyDescent="0.25">
      <c r="A166" s="46" t="s">
        <v>124</v>
      </c>
      <c r="B166">
        <f>'KLASA F'!AC9</f>
        <v>0</v>
      </c>
    </row>
    <row r="167" spans="1:2" x14ac:dyDescent="0.25">
      <c r="A167" s="46" t="s">
        <v>125</v>
      </c>
      <c r="B167">
        <f>'KLASA F'!AC10</f>
        <v>0</v>
      </c>
    </row>
    <row r="168" spans="1:2" x14ac:dyDescent="0.25">
      <c r="A168" s="46" t="s">
        <v>126</v>
      </c>
      <c r="B168">
        <f>'KLASA F'!AC11</f>
        <v>0</v>
      </c>
    </row>
    <row r="169" spans="1:2" x14ac:dyDescent="0.25">
      <c r="A169" s="46" t="s">
        <v>127</v>
      </c>
      <c r="B169">
        <f>'KLASA F'!AC12</f>
        <v>0</v>
      </c>
    </row>
    <row r="170" spans="1:2" x14ac:dyDescent="0.25">
      <c r="A170" s="46" t="s">
        <v>128</v>
      </c>
      <c r="B170">
        <f>'KLASA F'!AC13</f>
        <v>0</v>
      </c>
    </row>
    <row r="171" spans="1:2" x14ac:dyDescent="0.25">
      <c r="A171" s="46" t="s">
        <v>129</v>
      </c>
      <c r="B171">
        <f>'KLASA F'!AC14</f>
        <v>0</v>
      </c>
    </row>
    <row r="172" spans="1:2" x14ac:dyDescent="0.25">
      <c r="A172" s="46" t="s">
        <v>130</v>
      </c>
      <c r="B172">
        <f>'KLASA F'!AC15</f>
        <v>0</v>
      </c>
    </row>
    <row r="173" spans="1:2" x14ac:dyDescent="0.25">
      <c r="A173" s="46" t="s">
        <v>131</v>
      </c>
      <c r="B173">
        <f>'KLASA F'!AC16</f>
        <v>0</v>
      </c>
    </row>
    <row r="174" spans="1:2" x14ac:dyDescent="0.25">
      <c r="A174" s="46" t="s">
        <v>132</v>
      </c>
      <c r="B174">
        <f>'KLASA F'!AC17</f>
        <v>0</v>
      </c>
    </row>
    <row r="175" spans="1:2" x14ac:dyDescent="0.25">
      <c r="A175" s="46" t="s">
        <v>133</v>
      </c>
      <c r="B175">
        <f>'KLASA F'!AC18</f>
        <v>0</v>
      </c>
    </row>
    <row r="176" spans="1:2" x14ac:dyDescent="0.25">
      <c r="A176" s="46" t="s">
        <v>134</v>
      </c>
      <c r="B176">
        <f>'KLASA F'!AC19</f>
        <v>0</v>
      </c>
    </row>
    <row r="177" spans="1:2" x14ac:dyDescent="0.25">
      <c r="A177" s="46" t="s">
        <v>135</v>
      </c>
      <c r="B177">
        <f>'KLASA F'!AC20</f>
        <v>0</v>
      </c>
    </row>
    <row r="178" spans="1:2" x14ac:dyDescent="0.25">
      <c r="A178" s="46" t="s">
        <v>136</v>
      </c>
      <c r="B178">
        <f>'KLASA F'!AC21</f>
        <v>0</v>
      </c>
    </row>
    <row r="179" spans="1:2" x14ac:dyDescent="0.25">
      <c r="A179" s="46" t="s">
        <v>137</v>
      </c>
      <c r="B179">
        <f>'KLASA F'!AC22</f>
        <v>0</v>
      </c>
    </row>
    <row r="180" spans="1:2" x14ac:dyDescent="0.25">
      <c r="A180" s="46" t="s">
        <v>138</v>
      </c>
      <c r="B180">
        <f>'KLASA F'!AC23</f>
        <v>0</v>
      </c>
    </row>
    <row r="181" spans="1:2" x14ac:dyDescent="0.25">
      <c r="A181" s="46" t="s">
        <v>139</v>
      </c>
      <c r="B181">
        <f>'KLASA F'!AC24</f>
        <v>0</v>
      </c>
    </row>
    <row r="182" spans="1:2" x14ac:dyDescent="0.25">
      <c r="A182" s="46" t="s">
        <v>140</v>
      </c>
      <c r="B182">
        <f>'KLASA F'!AC25</f>
        <v>0</v>
      </c>
    </row>
    <row r="183" spans="1:2" x14ac:dyDescent="0.25">
      <c r="A183" s="46" t="s">
        <v>141</v>
      </c>
      <c r="B183">
        <f>'KLASA F'!AC26</f>
        <v>0</v>
      </c>
    </row>
    <row r="184" spans="1:2" ht="15.75" thickBot="1" x14ac:dyDescent="0.3">
      <c r="A184" s="47" t="s">
        <v>142</v>
      </c>
      <c r="B184">
        <f>'KLASA F'!AC27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KLASA A</vt:lpstr>
      <vt:lpstr>KLASA B</vt:lpstr>
      <vt:lpstr>KLASA C</vt:lpstr>
      <vt:lpstr>KLASA D</vt:lpstr>
      <vt:lpstr>KLASA E</vt:lpstr>
      <vt:lpstr>KLASA F</vt:lpstr>
      <vt:lpstr>SZKOŁA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Niedziela Grażyna</dc:creator>
  <cp:lastModifiedBy>Marta  Mucha - Balcerek</cp:lastModifiedBy>
  <dcterms:created xsi:type="dcterms:W3CDTF">2025-02-20T09:10:21Z</dcterms:created>
  <dcterms:modified xsi:type="dcterms:W3CDTF">2026-02-16T11:43:11Z</dcterms:modified>
</cp:coreProperties>
</file>